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filterPrivacy="1" codeName="ThisWorkbook" defaultThemeVersion="124226"/>
  <xr:revisionPtr revIDLastSave="0" documentId="13_ncr:1_{585F8B61-93CD-4D99-8E4A-90F1A7DFCB1E}" xr6:coauthVersionLast="47" xr6:coauthVersionMax="47" xr10:uidLastSave="{00000000-0000-0000-0000-000000000000}"/>
  <bookViews>
    <workbookView xWindow="-110" yWindow="-110" windowWidth="19420" windowHeight="10300" tabRatio="727" activeTab="1" xr2:uid="{00000000-000D-0000-FFFF-FFFF00000000}"/>
  </bookViews>
  <sheets>
    <sheet name="OBFORMAT" sheetId="5" r:id="rId1"/>
    <sheet name="Data entry sheet" sheetId="16" r:id="rId2"/>
    <sheet name="HRIS" sheetId="1" r:id="rId3"/>
    <sheet name="ConsentForm" sheetId="17" state="hidden" r:id="rId4"/>
    <sheet name="PF1" sheetId="4" r:id="rId5"/>
    <sheet name="PF2" sheetId="10" r:id="rId6"/>
    <sheet name="PF3" sheetId="15" r:id="rId7"/>
    <sheet name="Gratuity" sheetId="7" r:id="rId8"/>
    <sheet name="ESIC" sheetId="9" r:id="rId9"/>
    <sheet name="Employment Card" sheetId="13" state="hidden" r:id="rId10"/>
    <sheet name="ICARD" sheetId="18" r:id="rId11"/>
    <sheet name="Decform" sheetId="20" r:id="rId12"/>
  </sheets>
  <definedNames>
    <definedName name="_xlnm._FilterDatabase" localSheetId="1" hidden="1">'Data entry sheet'!$A$2:$AE$157</definedName>
    <definedName name="_xlnm._FilterDatabase" localSheetId="0" hidden="1">OBFORMAT!$A$2:$CX$3</definedName>
    <definedName name="_xlnm.Print_Area" localSheetId="11">Decform!$A$1:$F$35</definedName>
    <definedName name="_xlnm.Print_Area" localSheetId="9">'Employment Card'!$A$1:$D$35</definedName>
    <definedName name="_xlnm.Print_Area" localSheetId="8">ESIC!$A$1:$AE$72</definedName>
    <definedName name="_xlnm.Print_Area" localSheetId="7">Gratuity!$A$1:$D$83</definedName>
    <definedName name="_xlnm.Print_Area" localSheetId="2">HRIS!$A$1:$F$82</definedName>
    <definedName name="_xlnm.Print_Area" localSheetId="4">'PF1'!$A$1:$K$59</definedName>
    <definedName name="_xlnm.Print_Area" localSheetId="5">'PF2'!$A$1:$G$35</definedName>
    <definedName name="_xlnm.Print_Area" localSheetId="6">'PF3'!$A$1:$L$61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85" i="16" l="1"/>
  <c r="F85" i="16" s="1"/>
  <c r="C87" i="16" s="1"/>
  <c r="C106" i="16"/>
  <c r="C103" i="16"/>
  <c r="AH6" i="5"/>
  <c r="C28" i="16"/>
  <c r="A23" i="1" s="1"/>
  <c r="B4" i="20" s="1"/>
  <c r="C132" i="16"/>
  <c r="V6" i="5" s="1"/>
  <c r="C82" i="16" l="1"/>
  <c r="F82" i="16" s="1"/>
  <c r="C84" i="16" s="1"/>
  <c r="C32" i="16"/>
  <c r="C10" i="16"/>
  <c r="BX6" i="5"/>
  <c r="B3" i="5" l="1"/>
  <c r="C3" i="5"/>
  <c r="D3" i="5"/>
  <c r="E3" i="5"/>
  <c r="F3" i="5"/>
  <c r="G3" i="5"/>
  <c r="H3" i="5"/>
  <c r="I3" i="5"/>
  <c r="J3" i="5"/>
  <c r="K3" i="5"/>
  <c r="L3" i="5"/>
  <c r="M3" i="5"/>
  <c r="N3" i="5"/>
  <c r="O3" i="5"/>
  <c r="P3" i="5"/>
  <c r="Q3" i="5"/>
  <c r="R3" i="5"/>
  <c r="S3" i="5"/>
  <c r="T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CT3" i="5"/>
  <c r="CU3" i="5"/>
  <c r="CV3" i="5"/>
  <c r="CW3" i="5"/>
  <c r="CX3" i="5"/>
  <c r="CY3" i="5"/>
  <c r="CZ3" i="5"/>
  <c r="DA3" i="5"/>
  <c r="DB3" i="5"/>
  <c r="DC3" i="5"/>
  <c r="DD3" i="5"/>
  <c r="DE3" i="5"/>
  <c r="DF3" i="5"/>
  <c r="DG3" i="5"/>
  <c r="DH3" i="5"/>
  <c r="DI3" i="5"/>
  <c r="DJ3" i="5"/>
  <c r="DK3" i="5"/>
  <c r="DL3" i="5"/>
  <c r="DM3" i="5"/>
  <c r="DN3" i="5"/>
  <c r="DO3" i="5"/>
  <c r="DP3" i="5"/>
  <c r="DQ3" i="5"/>
  <c r="DR3" i="5"/>
  <c r="DS3" i="5"/>
  <c r="DT3" i="5"/>
  <c r="F7" i="18"/>
  <c r="B66" i="1" l="1"/>
  <c r="F6" i="18"/>
  <c r="F8" i="18"/>
  <c r="F10" i="18"/>
  <c r="F5" i="18"/>
  <c r="B8" i="1" l="1"/>
  <c r="W17" i="9" l="1"/>
  <c r="M6" i="5" l="1"/>
  <c r="CB7" i="5" l="1"/>
  <c r="BY7" i="5"/>
  <c r="BX7" i="5"/>
  <c r="BV7" i="5"/>
  <c r="BS7" i="5"/>
  <c r="BQ7" i="5"/>
  <c r="BP7" i="5"/>
  <c r="BO7" i="5"/>
  <c r="BM7" i="5"/>
  <c r="BL7" i="5"/>
  <c r="BI7" i="5"/>
  <c r="BG7" i="5"/>
  <c r="BF7" i="5"/>
  <c r="BE7" i="5"/>
  <c r="AW7" i="5"/>
  <c r="AU7" i="5"/>
  <c r="AR7" i="5"/>
  <c r="AQ7" i="5"/>
  <c r="AO7" i="5"/>
  <c r="AM7" i="5"/>
  <c r="Z7" i="5"/>
  <c r="X7" i="5"/>
  <c r="S7" i="5"/>
  <c r="Q7" i="5"/>
  <c r="M7" i="5"/>
  <c r="U6" i="5" l="1"/>
  <c r="U7" i="5" s="1"/>
  <c r="B10" i="1"/>
  <c r="CA6" i="5" l="1"/>
  <c r="CA7" i="5" s="1"/>
  <c r="BZ6" i="5"/>
  <c r="BZ7" i="5" s="1"/>
  <c r="BW6" i="5"/>
  <c r="BW7" i="5" s="1"/>
  <c r="BU6" i="5"/>
  <c r="BU7" i="5" s="1"/>
  <c r="BT6" i="5"/>
  <c r="BT7" i="5" s="1"/>
  <c r="BR6" i="5"/>
  <c r="BR7" i="5" s="1"/>
  <c r="BK6" i="5"/>
  <c r="BK7" i="5" s="1"/>
  <c r="BJ6" i="5"/>
  <c r="BJ7" i="5" s="1"/>
  <c r="AY6" i="5"/>
  <c r="AY7" i="5" s="1"/>
  <c r="AX6" i="5"/>
  <c r="AX7" i="5" s="1"/>
  <c r="AF6" i="5"/>
  <c r="AF7" i="5" s="1"/>
  <c r="F4" i="18"/>
  <c r="E10" i="15"/>
  <c r="E9" i="15"/>
  <c r="J44" i="4"/>
  <c r="E44" i="4"/>
  <c r="A45" i="4"/>
  <c r="K17" i="4"/>
  <c r="H17" i="4"/>
  <c r="F17" i="4"/>
  <c r="G36" i="4" s="1"/>
  <c r="D17" i="4"/>
  <c r="I36" i="4" s="1"/>
  <c r="A17" i="4"/>
  <c r="B35" i="4" s="1"/>
  <c r="A44" i="4" s="1"/>
  <c r="K16" i="4"/>
  <c r="H16" i="4"/>
  <c r="F16" i="4"/>
  <c r="G32" i="4" s="1"/>
  <c r="E42" i="4" s="1"/>
  <c r="D16" i="4"/>
  <c r="I32" i="4" s="1"/>
  <c r="J42" i="4" s="1"/>
  <c r="A16" i="4"/>
  <c r="B32" i="4" s="1"/>
  <c r="A42" i="4" s="1"/>
  <c r="D8" i="4"/>
  <c r="D7" i="4"/>
  <c r="G10" i="4"/>
  <c r="B10" i="4"/>
  <c r="D9" i="4"/>
  <c r="F76" i="1"/>
  <c r="D76" i="1"/>
  <c r="B76" i="1"/>
  <c r="B74" i="1"/>
  <c r="E72" i="1"/>
  <c r="E74" i="1"/>
  <c r="B72" i="1"/>
  <c r="E68" i="1"/>
  <c r="E66" i="1"/>
  <c r="E64" i="1"/>
  <c r="B64" i="1"/>
  <c r="F109" i="16"/>
  <c r="E60" i="1"/>
  <c r="D60" i="1"/>
  <c r="C60" i="1"/>
  <c r="B60" i="1"/>
  <c r="A60" i="1"/>
  <c r="D59" i="1"/>
  <c r="B59" i="1"/>
  <c r="A59" i="1"/>
  <c r="F59" i="1"/>
  <c r="D56" i="1"/>
  <c r="C56" i="1"/>
  <c r="A56" i="1"/>
  <c r="D55" i="1"/>
  <c r="C55" i="1"/>
  <c r="A55" i="1"/>
  <c r="D54" i="1"/>
  <c r="C54" i="1"/>
  <c r="A54" i="1"/>
  <c r="D53" i="1"/>
  <c r="D52" i="1"/>
  <c r="C53" i="1"/>
  <c r="B52" i="1"/>
  <c r="C52" i="1"/>
  <c r="E45" i="1"/>
  <c r="D45" i="1"/>
  <c r="C45" i="1"/>
  <c r="B45" i="1"/>
  <c r="A45" i="1"/>
  <c r="E38" i="1"/>
  <c r="D38" i="1"/>
  <c r="C38" i="1"/>
  <c r="B38" i="1"/>
  <c r="B30" i="1"/>
  <c r="B28" i="1"/>
  <c r="E34" i="1"/>
  <c r="C34" i="1"/>
  <c r="B32" i="1"/>
  <c r="E32" i="1"/>
  <c r="E30" i="1"/>
  <c r="E28" i="1"/>
  <c r="F26" i="1"/>
  <c r="E26" i="1"/>
  <c r="E25" i="1"/>
  <c r="C26" i="1"/>
  <c r="B26" i="1"/>
  <c r="B25" i="1"/>
  <c r="E20" i="1"/>
  <c r="E18" i="1"/>
  <c r="B20" i="1"/>
  <c r="B18" i="1"/>
  <c r="B16" i="1"/>
  <c r="E14" i="1"/>
  <c r="B14" i="1"/>
  <c r="C18" i="20" s="1"/>
  <c r="B12" i="1"/>
  <c r="E10" i="1"/>
  <c r="B1" i="1"/>
  <c r="B6" i="1"/>
  <c r="E16" i="1"/>
  <c r="C59" i="1"/>
  <c r="E59" i="1"/>
  <c r="C28" i="7" s="1"/>
  <c r="B68" i="1"/>
  <c r="B70" i="1"/>
  <c r="E70" i="1"/>
  <c r="H6" i="5"/>
  <c r="H7" i="5" s="1"/>
  <c r="D6" i="5"/>
  <c r="R38" i="9" l="1"/>
  <c r="C17" i="20"/>
  <c r="E18" i="20" s="1"/>
  <c r="F60" i="1"/>
  <c r="A53" i="1"/>
  <c r="C16" i="4"/>
  <c r="B33" i="4" s="1"/>
  <c r="A43" i="4" s="1"/>
  <c r="A52" i="1"/>
  <c r="L6" i="5"/>
  <c r="L7" i="5" s="1"/>
  <c r="C13" i="10" l="1"/>
  <c r="Q33" i="9"/>
  <c r="J33" i="9"/>
  <c r="B33" i="9"/>
  <c r="Q32" i="9"/>
  <c r="J32" i="9"/>
  <c r="B32" i="9"/>
  <c r="Q31" i="9"/>
  <c r="J31" i="9"/>
  <c r="B31" i="9"/>
  <c r="Q30" i="9"/>
  <c r="J30" i="9"/>
  <c r="B30" i="9"/>
  <c r="Q29" i="9"/>
  <c r="J29" i="9"/>
  <c r="B29" i="9"/>
  <c r="D6" i="4" l="1"/>
  <c r="B4" i="1"/>
  <c r="D23" i="1"/>
  <c r="D11" i="4"/>
  <c r="D29" i="7"/>
  <c r="D28" i="7" l="1"/>
  <c r="CM6" i="5"/>
  <c r="CM7" i="5" s="1"/>
  <c r="CL6" i="5"/>
  <c r="CL7" i="5" s="1"/>
  <c r="CK6" i="5"/>
  <c r="CK7" i="5" s="1"/>
  <c r="CJ6" i="5"/>
  <c r="CJ7" i="5" s="1"/>
  <c r="CI6" i="5"/>
  <c r="CI7" i="5" s="1"/>
  <c r="CH6" i="5"/>
  <c r="CH7" i="5" s="1"/>
  <c r="CG6" i="5"/>
  <c r="CG7" i="5" s="1"/>
  <c r="CF6" i="5"/>
  <c r="CF7" i="5" s="1"/>
  <c r="CE6" i="5"/>
  <c r="CE7" i="5" s="1"/>
  <c r="CD6" i="5"/>
  <c r="CD7" i="5" s="1"/>
  <c r="CC6" i="5"/>
  <c r="CC7" i="5" s="1"/>
  <c r="BN6" i="5"/>
  <c r="BN7" i="5" s="1"/>
  <c r="BH6" i="5"/>
  <c r="BH7" i="5" s="1"/>
  <c r="BD6" i="5"/>
  <c r="BD7" i="5" s="1"/>
  <c r="BC6" i="5"/>
  <c r="BC7" i="5" s="1"/>
  <c r="BB6" i="5"/>
  <c r="BB7" i="5" s="1"/>
  <c r="BA6" i="5"/>
  <c r="BA7" i="5" s="1"/>
  <c r="AZ6" i="5"/>
  <c r="AZ7" i="5" s="1"/>
  <c r="AV6" i="5"/>
  <c r="AV7" i="5" s="1"/>
  <c r="AS6" i="5"/>
  <c r="AS7" i="5" s="1"/>
  <c r="AT6" i="5"/>
  <c r="AT7" i="5" s="1"/>
  <c r="AP6" i="5"/>
  <c r="AP7" i="5" s="1"/>
  <c r="AN6" i="5"/>
  <c r="AN7" i="5" s="1"/>
  <c r="AL6" i="5"/>
  <c r="AL7" i="5" s="1"/>
  <c r="AK6" i="5"/>
  <c r="AK7" i="5" s="1"/>
  <c r="AJ6" i="5"/>
  <c r="AJ7" i="5" s="1"/>
  <c r="AI6" i="5"/>
  <c r="AI7" i="5" s="1"/>
  <c r="AH7" i="5"/>
  <c r="AG6" i="5"/>
  <c r="AG7" i="5" s="1"/>
  <c r="V7" i="5"/>
  <c r="AD6" i="5"/>
  <c r="AD7" i="5" s="1"/>
  <c r="AE6" i="5"/>
  <c r="AE7" i="5" s="1"/>
  <c r="AC6" i="5"/>
  <c r="AC7" i="5" s="1"/>
  <c r="AB6" i="5"/>
  <c r="AB7" i="5" s="1"/>
  <c r="AA6" i="5"/>
  <c r="AA7" i="5" s="1"/>
  <c r="Y6" i="5"/>
  <c r="Y7" i="5" s="1"/>
  <c r="W6" i="5"/>
  <c r="W7" i="5" s="1"/>
  <c r="T6" i="5"/>
  <c r="T7" i="5" s="1"/>
  <c r="R6" i="5"/>
  <c r="R11" i="5" s="1"/>
  <c r="R7" i="5" s="1"/>
  <c r="P6" i="5"/>
  <c r="P7" i="5" s="1"/>
  <c r="O6" i="5"/>
  <c r="O7" i="5" s="1"/>
  <c r="N6" i="5"/>
  <c r="N7" i="5" s="1"/>
  <c r="K6" i="5"/>
  <c r="K7" i="5" s="1"/>
  <c r="J6" i="5"/>
  <c r="J7" i="5" s="1"/>
  <c r="I6" i="5"/>
  <c r="I7" i="5" s="1"/>
  <c r="E18" i="15" l="1"/>
  <c r="M18" i="15" s="1"/>
  <c r="E19" i="15"/>
  <c r="C6" i="9" l="1"/>
  <c r="D6" i="13" l="1"/>
  <c r="E17" i="15"/>
  <c r="M17" i="15" s="1"/>
  <c r="G18" i="10"/>
  <c r="A30" i="7"/>
  <c r="D18" i="10" l="1"/>
  <c r="F18" i="10"/>
  <c r="A29" i="7"/>
  <c r="B29" i="7"/>
  <c r="A18" i="10"/>
  <c r="E18" i="10"/>
  <c r="C29" i="7"/>
  <c r="C43" i="7" l="1"/>
  <c r="D24" i="13"/>
  <c r="J38" i="9"/>
  <c r="G17" i="10"/>
  <c r="E28" i="15"/>
  <c r="E13" i="15"/>
  <c r="M14" i="9"/>
  <c r="C14" i="9"/>
  <c r="C12" i="10"/>
  <c r="E29" i="15"/>
  <c r="C39" i="7"/>
  <c r="C41" i="7"/>
  <c r="D26" i="13"/>
  <c r="D10" i="13"/>
  <c r="C7" i="9" l="1"/>
  <c r="E7" i="15"/>
  <c r="E11" i="15"/>
  <c r="C15" i="9"/>
  <c r="E12" i="15"/>
  <c r="E8" i="15"/>
  <c r="C44" i="7"/>
  <c r="D32" i="13"/>
  <c r="D18" i="13"/>
  <c r="D22" i="13"/>
  <c r="V12" i="9"/>
  <c r="H20" i="9"/>
  <c r="U8" i="9"/>
  <c r="A20" i="9"/>
  <c r="M20" i="9"/>
  <c r="J37" i="9"/>
  <c r="D6" i="10"/>
  <c r="D8" i="10"/>
  <c r="D10" i="10"/>
  <c r="B28" i="10"/>
  <c r="A11" i="7"/>
  <c r="C38" i="7"/>
  <c r="C8" i="9"/>
  <c r="O9" i="9"/>
  <c r="A12" i="9"/>
  <c r="D7" i="10"/>
  <c r="D9" i="10"/>
  <c r="A51" i="4"/>
  <c r="C37" i="7"/>
  <c r="C40" i="7"/>
  <c r="C9" i="9"/>
  <c r="O10" i="9"/>
  <c r="H12" i="9"/>
  <c r="A17" i="10"/>
  <c r="C17" i="10"/>
  <c r="E17" i="10"/>
  <c r="A28" i="7"/>
  <c r="D17" i="10"/>
  <c r="F17" i="10"/>
  <c r="B2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 authorId="0" shapeId="0" xr:uid="{00000000-0006-0000-0100-000001000000}">
      <text>
        <r>
          <rPr>
            <b/>
            <sz val="8"/>
            <color indexed="81"/>
            <rFont val="Tahoma"/>
            <family val="2"/>
          </rPr>
          <t>Author:</t>
        </r>
        <r>
          <rPr>
            <sz val="8"/>
            <color indexed="81"/>
            <rFont val="Tahoma"/>
            <family val="2"/>
          </rPr>
          <t xml:space="preserve">
Please mention your Title</t>
        </r>
      </text>
    </comment>
    <comment ref="B7" authorId="0" shapeId="0" xr:uid="{00000000-0006-0000-0100-000002000000}">
      <text>
        <r>
          <rPr>
            <b/>
            <sz val="8"/>
            <color indexed="81"/>
            <rFont val="Tahoma"/>
            <family val="2"/>
          </rPr>
          <t>Author:</t>
        </r>
        <r>
          <rPr>
            <sz val="8"/>
            <color indexed="81"/>
            <rFont val="Tahoma"/>
            <family val="2"/>
          </rPr>
          <t xml:space="preserve">
Please mention your Father name as per aadhar </t>
        </r>
      </text>
    </comment>
    <comment ref="B9" authorId="0" shapeId="0" xr:uid="{00000000-0006-0000-0100-000003000000}">
      <text>
        <r>
          <rPr>
            <b/>
            <sz val="8"/>
            <color indexed="81"/>
            <rFont val="Tahoma"/>
            <family val="2"/>
          </rPr>
          <t>Author:</t>
        </r>
        <r>
          <rPr>
            <sz val="8"/>
            <color indexed="81"/>
            <rFont val="Tahoma"/>
            <family val="2"/>
          </rPr>
          <t xml:space="preserve">
Please mention your last name </t>
        </r>
      </text>
    </comment>
    <comment ref="C9" authorId="0" shapeId="0" xr:uid="{00000000-0006-0000-0100-000004000000}">
      <text>
        <r>
          <rPr>
            <b/>
            <sz val="8"/>
            <color indexed="81"/>
            <rFont val="Tahoma"/>
            <family val="2"/>
          </rPr>
          <t>Author:</t>
        </r>
        <r>
          <rPr>
            <sz val="8"/>
            <color indexed="81"/>
            <rFont val="Tahoma"/>
            <family val="2"/>
          </rPr>
          <t xml:space="preserve">
D</t>
        </r>
      </text>
    </comment>
    <comment ref="B11" authorId="0" shapeId="0" xr:uid="{00000000-0006-0000-0100-000005000000}">
      <text>
        <r>
          <rPr>
            <b/>
            <sz val="8"/>
            <color indexed="81"/>
            <rFont val="Tahoma"/>
            <family val="2"/>
          </rPr>
          <t>Author:</t>
        </r>
        <r>
          <rPr>
            <sz val="8"/>
            <color indexed="81"/>
            <rFont val="Tahoma"/>
            <family val="2"/>
          </rPr>
          <t xml:space="preserve">
Please mention your father name </t>
        </r>
      </text>
    </comment>
    <comment ref="B12" authorId="0" shapeId="0" xr:uid="{00000000-0006-0000-0100-000006000000}">
      <text>
        <r>
          <rPr>
            <b/>
            <sz val="8"/>
            <color indexed="81"/>
            <rFont val="Tahoma"/>
            <family val="2"/>
          </rPr>
          <t>Author:</t>
        </r>
        <r>
          <rPr>
            <sz val="8"/>
            <color indexed="81"/>
            <rFont val="Tahoma"/>
            <family val="2"/>
          </rPr>
          <t xml:space="preserve">
Please mention your DOB as per aadhar </t>
        </r>
      </text>
    </comment>
    <comment ref="B16" authorId="0" shapeId="0" xr:uid="{00000000-0006-0000-0100-000007000000}">
      <text>
        <r>
          <rPr>
            <b/>
            <sz val="8"/>
            <color indexed="81"/>
            <rFont val="Tahoma"/>
            <family val="2"/>
          </rPr>
          <t>Author:</t>
        </r>
        <r>
          <rPr>
            <sz val="8"/>
            <color indexed="81"/>
            <rFont val="Tahoma"/>
            <family val="2"/>
          </rPr>
          <t xml:space="preserve">
Please mention your marital status</t>
        </r>
      </text>
    </comment>
    <comment ref="B18" authorId="0" shapeId="0" xr:uid="{00000000-0006-0000-0100-000008000000}">
      <text>
        <r>
          <rPr>
            <b/>
            <sz val="8"/>
            <color indexed="81"/>
            <rFont val="Tahoma"/>
            <family val="2"/>
          </rPr>
          <t>Author:</t>
        </r>
        <r>
          <rPr>
            <sz val="8"/>
            <color indexed="81"/>
            <rFont val="Tahoma"/>
            <family val="2"/>
          </rPr>
          <t xml:space="preserve">
Please mention mother name </t>
        </r>
      </text>
    </comment>
    <comment ref="B19" authorId="0" shapeId="0" xr:uid="{00000000-0006-0000-0100-000009000000}">
      <text>
        <r>
          <rPr>
            <b/>
            <sz val="8"/>
            <color indexed="81"/>
            <rFont val="Tahoma"/>
            <family val="2"/>
          </rPr>
          <t>Author:</t>
        </r>
        <r>
          <rPr>
            <sz val="8"/>
            <color indexed="81"/>
            <rFont val="Tahoma"/>
            <family val="2"/>
          </rPr>
          <t xml:space="preserve">
Please mention marriage date 
</t>
        </r>
      </text>
    </comment>
    <comment ref="B20" authorId="0" shapeId="0" xr:uid="{00000000-0006-0000-0100-00000A000000}">
      <text>
        <r>
          <rPr>
            <b/>
            <sz val="8"/>
            <color indexed="81"/>
            <rFont val="Tahoma"/>
            <family val="2"/>
          </rPr>
          <t>Author:</t>
        </r>
        <r>
          <rPr>
            <sz val="8"/>
            <color indexed="81"/>
            <rFont val="Tahoma"/>
            <family val="2"/>
          </rPr>
          <t xml:space="preserve">
Please mention religion </t>
        </r>
      </text>
    </comment>
    <comment ref="B21" authorId="0" shapeId="0" xr:uid="{00000000-0006-0000-0100-00000B000000}">
      <text>
        <r>
          <rPr>
            <b/>
            <sz val="8"/>
            <color indexed="81"/>
            <rFont val="Tahoma"/>
            <family val="2"/>
          </rPr>
          <t>Author:</t>
        </r>
        <r>
          <rPr>
            <sz val="8"/>
            <color indexed="81"/>
            <rFont val="Tahoma"/>
            <family val="2"/>
          </rPr>
          <t xml:space="preserve">
Please mention Nationality </t>
        </r>
      </text>
    </comment>
    <comment ref="B22" authorId="0" shapeId="0" xr:uid="{00000000-0006-0000-0100-00000C000000}">
      <text>
        <r>
          <rPr>
            <b/>
            <sz val="8"/>
            <color indexed="81"/>
            <rFont val="Tahoma"/>
            <family val="2"/>
          </rPr>
          <t>Author:</t>
        </r>
        <r>
          <rPr>
            <sz val="8"/>
            <color indexed="81"/>
            <rFont val="Tahoma"/>
            <family val="2"/>
          </rPr>
          <t xml:space="preserve">
Please mention your blood gruop</t>
        </r>
      </text>
    </comment>
    <comment ref="B23" authorId="0" shapeId="0" xr:uid="{00000000-0006-0000-0100-00000D000000}">
      <text>
        <r>
          <rPr>
            <b/>
            <sz val="8"/>
            <color indexed="81"/>
            <rFont val="Tahoma"/>
            <family val="2"/>
          </rPr>
          <t>Author:</t>
        </r>
        <r>
          <rPr>
            <sz val="8"/>
            <color indexed="81"/>
            <rFont val="Tahoma"/>
            <family val="2"/>
          </rPr>
          <t xml:space="preserve">
Please mention your pan no</t>
        </r>
      </text>
    </comment>
    <comment ref="B25" authorId="0" shapeId="0" xr:uid="{00000000-0006-0000-0100-00000E000000}">
      <text>
        <r>
          <rPr>
            <b/>
            <sz val="8"/>
            <color indexed="81"/>
            <rFont val="Tahoma"/>
            <family val="2"/>
          </rPr>
          <t>Author:</t>
        </r>
        <r>
          <rPr>
            <sz val="8"/>
            <color indexed="81"/>
            <rFont val="Tahoma"/>
            <family val="2"/>
          </rPr>
          <t xml:space="preserve">
Enter the city as per aadhar </t>
        </r>
      </text>
    </comment>
    <comment ref="B26" authorId="0" shapeId="0" xr:uid="{00000000-0006-0000-0100-00000F000000}">
      <text>
        <r>
          <rPr>
            <b/>
            <sz val="8"/>
            <color indexed="81"/>
            <rFont val="Tahoma"/>
            <family val="2"/>
          </rPr>
          <t>Author:</t>
        </r>
        <r>
          <rPr>
            <sz val="8"/>
            <color indexed="81"/>
            <rFont val="Tahoma"/>
            <family val="2"/>
          </rPr>
          <t xml:space="preserve">
Please enter the state name </t>
        </r>
      </text>
    </comment>
    <comment ref="B27" authorId="0" shapeId="0" xr:uid="{00000000-0006-0000-0100-000010000000}">
      <text>
        <r>
          <rPr>
            <b/>
            <sz val="8"/>
            <color indexed="81"/>
            <rFont val="Tahoma"/>
            <family val="2"/>
          </rPr>
          <t>Author:</t>
        </r>
        <r>
          <rPr>
            <sz val="8"/>
            <color indexed="81"/>
            <rFont val="Tahoma"/>
            <family val="2"/>
          </rPr>
          <t xml:space="preserve">
Please enter the pincode</t>
        </r>
      </text>
    </comment>
    <comment ref="B28" authorId="0" shapeId="0" xr:uid="{00000000-0006-0000-0100-000011000000}">
      <text>
        <r>
          <rPr>
            <b/>
            <sz val="8"/>
            <color indexed="81"/>
            <rFont val="Tahoma"/>
            <family val="2"/>
          </rPr>
          <t>Author:</t>
        </r>
        <r>
          <rPr>
            <sz val="8"/>
            <color indexed="81"/>
            <rFont val="Tahoma"/>
            <family val="2"/>
          </rPr>
          <t xml:space="preserve">
Please enter the address as per aadhar </t>
        </r>
      </text>
    </comment>
    <comment ref="B29" authorId="0" shapeId="0" xr:uid="{00000000-0006-0000-0100-000012000000}">
      <text>
        <r>
          <rPr>
            <b/>
            <sz val="8"/>
            <color indexed="81"/>
            <rFont val="Tahoma"/>
            <family val="2"/>
          </rPr>
          <t>Author:</t>
        </r>
        <r>
          <rPr>
            <sz val="8"/>
            <color indexed="81"/>
            <rFont val="Tahoma"/>
            <family val="2"/>
          </rPr>
          <t xml:space="preserve">
Please enter the street name as per aadhar</t>
        </r>
      </text>
    </comment>
    <comment ref="B30" authorId="0" shapeId="0" xr:uid="{00000000-0006-0000-0100-000013000000}">
      <text>
        <r>
          <rPr>
            <b/>
            <sz val="8"/>
            <color indexed="81"/>
            <rFont val="Tahoma"/>
            <family val="2"/>
          </rPr>
          <t>Author:</t>
        </r>
        <r>
          <rPr>
            <sz val="8"/>
            <color indexed="81"/>
            <rFont val="Tahoma"/>
            <family val="2"/>
          </rPr>
          <t xml:space="preserve">
Please enter the street name as per aadhar</t>
        </r>
      </text>
    </comment>
    <comment ref="B31" authorId="0" shapeId="0" xr:uid="{00000000-0006-0000-0100-000014000000}">
      <text>
        <r>
          <rPr>
            <b/>
            <sz val="8"/>
            <color indexed="81"/>
            <rFont val="Tahoma"/>
            <family val="2"/>
          </rPr>
          <t>Author:</t>
        </r>
        <r>
          <rPr>
            <sz val="8"/>
            <color indexed="81"/>
            <rFont val="Tahoma"/>
            <family val="2"/>
          </rPr>
          <t xml:space="preserve">
Please enter the location as pe aadhar </t>
        </r>
      </text>
    </comment>
    <comment ref="B36" authorId="0" shapeId="0" xr:uid="{00000000-0006-0000-0100-000015000000}">
      <text>
        <r>
          <rPr>
            <b/>
            <sz val="8"/>
            <color indexed="81"/>
            <rFont val="Tahoma"/>
            <family val="2"/>
          </rPr>
          <t>Author:</t>
        </r>
        <r>
          <rPr>
            <sz val="8"/>
            <color indexed="81"/>
            <rFont val="Tahoma"/>
            <family val="2"/>
          </rPr>
          <t xml:space="preserve">
Please mention your land line no </t>
        </r>
      </text>
    </comment>
    <comment ref="B37" authorId="0" shapeId="0" xr:uid="{00000000-0006-0000-0100-000016000000}">
      <text>
        <r>
          <rPr>
            <b/>
            <sz val="8"/>
            <color indexed="81"/>
            <rFont val="Tahoma"/>
            <family val="2"/>
          </rPr>
          <t>Author:</t>
        </r>
        <r>
          <rPr>
            <sz val="8"/>
            <color indexed="81"/>
            <rFont val="Tahoma"/>
            <family val="2"/>
          </rPr>
          <t xml:space="preserve">
Please mention your mobile no </t>
        </r>
      </text>
    </comment>
    <comment ref="B38" authorId="0" shapeId="0" xr:uid="{00000000-0006-0000-0100-000017000000}">
      <text>
        <r>
          <rPr>
            <b/>
            <sz val="8"/>
            <color indexed="81"/>
            <rFont val="Tahoma"/>
            <family val="2"/>
          </rPr>
          <t>Author:</t>
        </r>
        <r>
          <rPr>
            <sz val="8"/>
            <color indexed="81"/>
            <rFont val="Tahoma"/>
            <family val="2"/>
          </rPr>
          <t xml:space="preserve">
Please mention your e mail id </t>
        </r>
      </text>
    </comment>
    <comment ref="B40" authorId="0" shapeId="0" xr:uid="{00000000-0006-0000-0100-000018000000}">
      <text>
        <r>
          <rPr>
            <b/>
            <sz val="8"/>
            <color indexed="81"/>
            <rFont val="Tahoma"/>
            <family val="2"/>
          </rPr>
          <t>Author:</t>
        </r>
        <r>
          <rPr>
            <sz val="8"/>
            <color indexed="81"/>
            <rFont val="Tahoma"/>
            <family val="2"/>
          </rPr>
          <t xml:space="preserve">
Please mention a emergency contact no </t>
        </r>
      </text>
    </comment>
    <comment ref="B41" authorId="0" shapeId="0" xr:uid="{00000000-0006-0000-0100-000019000000}">
      <text>
        <r>
          <rPr>
            <b/>
            <sz val="8"/>
            <color indexed="81"/>
            <rFont val="Tahoma"/>
            <family val="2"/>
          </rPr>
          <t>Author:</t>
        </r>
        <r>
          <rPr>
            <sz val="8"/>
            <color indexed="81"/>
            <rFont val="Tahoma"/>
            <family val="2"/>
          </rPr>
          <t xml:space="preserve">
Please mention the contact person name </t>
        </r>
      </text>
    </comment>
    <comment ref="B43" authorId="0" shapeId="0" xr:uid="{00000000-0006-0000-0100-00001A000000}">
      <text>
        <r>
          <rPr>
            <b/>
            <sz val="8"/>
            <color indexed="81"/>
            <rFont val="Tahoma"/>
            <family val="2"/>
          </rPr>
          <t>Author:</t>
        </r>
        <r>
          <rPr>
            <sz val="8"/>
            <color indexed="81"/>
            <rFont val="Tahoma"/>
            <family val="2"/>
          </rPr>
          <t xml:space="preserve">
Please mention your Total Experience </t>
        </r>
      </text>
    </comment>
    <comment ref="B44" authorId="0" shapeId="0" xr:uid="{00000000-0006-0000-0100-00001B000000}">
      <text>
        <r>
          <rPr>
            <b/>
            <sz val="8"/>
            <color indexed="81"/>
            <rFont val="Tahoma"/>
            <family val="2"/>
          </rPr>
          <t>Author:</t>
        </r>
        <r>
          <rPr>
            <sz val="8"/>
            <color indexed="81"/>
            <rFont val="Tahoma"/>
            <family val="2"/>
          </rPr>
          <t xml:space="preserve">
Please menton the name of the last organisation </t>
        </r>
      </text>
    </comment>
    <comment ref="B45" authorId="0" shapeId="0" xr:uid="{00000000-0006-0000-0100-00001C000000}">
      <text>
        <r>
          <rPr>
            <b/>
            <sz val="8"/>
            <color indexed="81"/>
            <rFont val="Tahoma"/>
            <family val="2"/>
          </rPr>
          <t>Author:</t>
        </r>
        <r>
          <rPr>
            <sz val="8"/>
            <color indexed="81"/>
            <rFont val="Tahoma"/>
            <family val="2"/>
          </rPr>
          <t xml:space="preserve">
Please mention the last company duration </t>
        </r>
      </text>
    </comment>
    <comment ref="B46" authorId="0" shapeId="0" xr:uid="{00000000-0006-0000-0100-00001D000000}">
      <text>
        <r>
          <rPr>
            <b/>
            <sz val="8"/>
            <color indexed="81"/>
            <rFont val="Tahoma"/>
            <family val="2"/>
          </rPr>
          <t>Author:</t>
        </r>
        <r>
          <rPr>
            <sz val="8"/>
            <color indexed="81"/>
            <rFont val="Tahoma"/>
            <family val="2"/>
          </rPr>
          <t xml:space="preserve">
Please mention the last company designation </t>
        </r>
      </text>
    </comment>
    <comment ref="B47" authorId="0" shapeId="0" xr:uid="{00000000-0006-0000-0100-00001E000000}">
      <text>
        <r>
          <rPr>
            <b/>
            <sz val="8"/>
            <color indexed="81"/>
            <rFont val="Tahoma"/>
            <family val="2"/>
          </rPr>
          <t>Author:</t>
        </r>
        <r>
          <rPr>
            <sz val="8"/>
            <color indexed="81"/>
            <rFont val="Tahoma"/>
            <family val="2"/>
          </rPr>
          <t xml:space="preserve">
Please mention the last company location </t>
        </r>
      </text>
    </comment>
    <comment ref="B61" authorId="0" shapeId="0" xr:uid="{00000000-0006-0000-0100-00001F000000}">
      <text>
        <r>
          <rPr>
            <b/>
            <sz val="8"/>
            <color indexed="81"/>
            <rFont val="Tahoma"/>
            <family val="2"/>
          </rPr>
          <t>Author:</t>
        </r>
        <r>
          <rPr>
            <sz val="8"/>
            <color indexed="81"/>
            <rFont val="Tahoma"/>
            <family val="2"/>
          </rPr>
          <t xml:space="preserve">
Please mention your highest qualification details </t>
        </r>
      </text>
    </comment>
    <comment ref="B62" authorId="0" shapeId="0" xr:uid="{00000000-0006-0000-0100-000020000000}">
      <text>
        <r>
          <rPr>
            <b/>
            <sz val="8"/>
            <color indexed="81"/>
            <rFont val="Tahoma"/>
            <family val="2"/>
          </rPr>
          <t>Author:</t>
        </r>
        <r>
          <rPr>
            <sz val="8"/>
            <color indexed="81"/>
            <rFont val="Tahoma"/>
            <family val="2"/>
          </rPr>
          <t xml:space="preserve">
Please mention the university </t>
        </r>
      </text>
    </comment>
    <comment ref="B63" authorId="0" shapeId="0" xr:uid="{00000000-0006-0000-0100-000021000000}">
      <text>
        <r>
          <rPr>
            <b/>
            <sz val="8"/>
            <color indexed="81"/>
            <rFont val="Tahoma"/>
            <family val="2"/>
          </rPr>
          <t>Author:</t>
        </r>
        <r>
          <rPr>
            <sz val="8"/>
            <color indexed="81"/>
            <rFont val="Tahoma"/>
            <family val="2"/>
          </rPr>
          <t xml:space="preserve">
Please mention the year of passing </t>
        </r>
      </text>
    </comment>
    <comment ref="B64" authorId="0" shapeId="0" xr:uid="{00000000-0006-0000-0100-000022000000}">
      <text>
        <r>
          <rPr>
            <b/>
            <sz val="8"/>
            <color indexed="81"/>
            <rFont val="Tahoma"/>
            <family val="2"/>
          </rPr>
          <t>Author:</t>
        </r>
        <r>
          <rPr>
            <sz val="8"/>
            <color indexed="81"/>
            <rFont val="Tahoma"/>
            <family val="2"/>
          </rPr>
          <t xml:space="preserve">
Please mention the highest education duration </t>
        </r>
      </text>
    </comment>
    <comment ref="B65" authorId="0" shapeId="0" xr:uid="{00000000-0006-0000-0100-000023000000}">
      <text>
        <r>
          <rPr>
            <b/>
            <sz val="8"/>
            <color indexed="81"/>
            <rFont val="Tahoma"/>
            <family val="2"/>
          </rPr>
          <t>Author:</t>
        </r>
        <r>
          <rPr>
            <sz val="8"/>
            <color indexed="81"/>
            <rFont val="Tahoma"/>
            <family val="2"/>
          </rPr>
          <t xml:space="preserve">
Please mention the higest education as the instructions given on right column </t>
        </r>
      </text>
    </comment>
    <comment ref="B82" authorId="0" shapeId="0" xr:uid="{00000000-0006-0000-0100-000024000000}">
      <text>
        <r>
          <rPr>
            <b/>
            <sz val="8"/>
            <color indexed="81"/>
            <rFont val="Tahoma"/>
            <family val="2"/>
          </rPr>
          <t>Author:</t>
        </r>
        <r>
          <rPr>
            <sz val="8"/>
            <color indexed="81"/>
            <rFont val="Tahoma"/>
            <family val="2"/>
          </rPr>
          <t xml:space="preserve">
Please mention your father name as per aadhar </t>
        </r>
      </text>
    </comment>
    <comment ref="B84" authorId="0" shapeId="0" xr:uid="{00000000-0006-0000-0100-000025000000}">
      <text>
        <r>
          <rPr>
            <b/>
            <sz val="8"/>
            <color indexed="81"/>
            <rFont val="Tahoma"/>
            <family val="2"/>
          </rPr>
          <t>Author:</t>
        </r>
        <r>
          <rPr>
            <sz val="8"/>
            <color indexed="81"/>
            <rFont val="Tahoma"/>
            <family val="2"/>
          </rPr>
          <t xml:space="preserve">
Please mention the relationship as father </t>
        </r>
      </text>
    </comment>
    <comment ref="B85" authorId="0" shapeId="0" xr:uid="{00000000-0006-0000-0100-000026000000}">
      <text>
        <r>
          <rPr>
            <b/>
            <sz val="8"/>
            <color indexed="81"/>
            <rFont val="Tahoma"/>
            <family val="2"/>
          </rPr>
          <t>Author:</t>
        </r>
        <r>
          <rPr>
            <sz val="8"/>
            <color indexed="81"/>
            <rFont val="Tahoma"/>
            <family val="2"/>
          </rPr>
          <t xml:space="preserve">
Please mention the Mother name </t>
        </r>
      </text>
    </comment>
    <comment ref="B86" authorId="0" shapeId="0" xr:uid="{00000000-0006-0000-0100-000027000000}">
      <text>
        <r>
          <rPr>
            <b/>
            <sz val="8"/>
            <color indexed="81"/>
            <rFont val="Tahoma"/>
            <family val="2"/>
          </rPr>
          <t>Author:</t>
        </r>
        <r>
          <rPr>
            <sz val="8"/>
            <color indexed="81"/>
            <rFont val="Tahoma"/>
            <family val="2"/>
          </rPr>
          <t xml:space="preserve">
Please mention the DOB of Mother </t>
        </r>
      </text>
    </comment>
    <comment ref="B87" authorId="0" shapeId="0" xr:uid="{00000000-0006-0000-0100-000028000000}">
      <text>
        <r>
          <rPr>
            <b/>
            <sz val="8"/>
            <color indexed="81"/>
            <rFont val="Tahoma"/>
            <family val="2"/>
          </rPr>
          <t>Author:</t>
        </r>
        <r>
          <rPr>
            <sz val="8"/>
            <color indexed="81"/>
            <rFont val="Tahoma"/>
            <family val="2"/>
          </rPr>
          <t xml:space="preserve">
Please mention the relationship as mother </t>
        </r>
      </text>
    </comment>
    <comment ref="B88" authorId="0" shapeId="0" xr:uid="{00000000-0006-0000-0100-000029000000}">
      <text>
        <r>
          <rPr>
            <b/>
            <sz val="8"/>
            <color indexed="81"/>
            <rFont val="Tahoma"/>
            <family val="2"/>
          </rPr>
          <t>Author:</t>
        </r>
        <r>
          <rPr>
            <sz val="8"/>
            <color indexed="81"/>
            <rFont val="Tahoma"/>
            <family val="2"/>
          </rPr>
          <t xml:space="preserve">
Please mention the spouse name </t>
        </r>
      </text>
    </comment>
    <comment ref="B89" authorId="0" shapeId="0" xr:uid="{00000000-0006-0000-0100-00002A000000}">
      <text>
        <r>
          <rPr>
            <b/>
            <sz val="8"/>
            <color indexed="81"/>
            <rFont val="Tahoma"/>
            <family val="2"/>
          </rPr>
          <t>Author:</t>
        </r>
        <r>
          <rPr>
            <sz val="8"/>
            <color indexed="81"/>
            <rFont val="Tahoma"/>
            <family val="2"/>
          </rPr>
          <t xml:space="preserve">
Please mention the spouse gender </t>
        </r>
      </text>
    </comment>
    <comment ref="B90" authorId="0" shapeId="0" xr:uid="{00000000-0006-0000-0100-00002B000000}">
      <text>
        <r>
          <rPr>
            <b/>
            <sz val="8"/>
            <color indexed="81"/>
            <rFont val="Tahoma"/>
            <family val="2"/>
          </rPr>
          <t>Author:</t>
        </r>
        <r>
          <rPr>
            <sz val="8"/>
            <color indexed="81"/>
            <rFont val="Tahoma"/>
            <family val="2"/>
          </rPr>
          <t xml:space="preserve">
Please mention the spouse DOB </t>
        </r>
      </text>
    </comment>
    <comment ref="B91" authorId="0" shapeId="0" xr:uid="{00000000-0006-0000-0100-00002C000000}">
      <text>
        <r>
          <rPr>
            <b/>
            <sz val="8"/>
            <color indexed="81"/>
            <rFont val="Tahoma"/>
            <family val="2"/>
          </rPr>
          <t>Author:</t>
        </r>
        <r>
          <rPr>
            <sz val="8"/>
            <color indexed="81"/>
            <rFont val="Tahoma"/>
            <family val="2"/>
          </rPr>
          <t xml:space="preserve">
Please mention the reletionship </t>
        </r>
      </text>
    </comment>
    <comment ref="B92" authorId="0" shapeId="0" xr:uid="{00000000-0006-0000-0100-00002D000000}">
      <text>
        <r>
          <rPr>
            <b/>
            <sz val="8"/>
            <color indexed="81"/>
            <rFont val="Tahoma"/>
            <family val="2"/>
          </rPr>
          <t>Author:</t>
        </r>
        <r>
          <rPr>
            <sz val="8"/>
            <color indexed="81"/>
            <rFont val="Tahoma"/>
            <family val="2"/>
          </rPr>
          <t xml:space="preserve">
Please mention your child name </t>
        </r>
      </text>
    </comment>
    <comment ref="B93" authorId="0" shapeId="0" xr:uid="{00000000-0006-0000-0100-00002E000000}">
      <text>
        <r>
          <rPr>
            <b/>
            <sz val="8"/>
            <color indexed="81"/>
            <rFont val="Tahoma"/>
            <family val="2"/>
          </rPr>
          <t>Author:</t>
        </r>
        <r>
          <rPr>
            <sz val="8"/>
            <color indexed="81"/>
            <rFont val="Tahoma"/>
            <family val="2"/>
          </rPr>
          <t xml:space="preserve">
Please mention the child gender </t>
        </r>
      </text>
    </comment>
    <comment ref="B94" authorId="0" shapeId="0" xr:uid="{00000000-0006-0000-0100-00002F000000}">
      <text>
        <r>
          <rPr>
            <b/>
            <sz val="8"/>
            <color indexed="81"/>
            <rFont val="Tahoma"/>
            <family val="2"/>
          </rPr>
          <t>Author:</t>
        </r>
        <r>
          <rPr>
            <sz val="8"/>
            <color indexed="81"/>
            <rFont val="Tahoma"/>
            <family val="2"/>
          </rPr>
          <t xml:space="preserve">
Please mention child DOB </t>
        </r>
      </text>
    </comment>
    <comment ref="B95" authorId="0" shapeId="0" xr:uid="{00000000-0006-0000-0100-000030000000}">
      <text>
        <r>
          <rPr>
            <b/>
            <sz val="8"/>
            <color indexed="81"/>
            <rFont val="Tahoma"/>
            <family val="2"/>
          </rPr>
          <t>Author:</t>
        </r>
        <r>
          <rPr>
            <sz val="8"/>
            <color indexed="81"/>
            <rFont val="Tahoma"/>
            <family val="2"/>
          </rPr>
          <t xml:space="preserve">
Please mention the relationship as son /Daughter </t>
        </r>
      </text>
    </comment>
    <comment ref="B100" authorId="0" shapeId="0" xr:uid="{00000000-0006-0000-0100-000031000000}">
      <text>
        <r>
          <rPr>
            <b/>
            <sz val="8"/>
            <color indexed="81"/>
            <rFont val="Tahoma"/>
            <family val="2"/>
          </rPr>
          <t>Author:</t>
        </r>
        <r>
          <rPr>
            <sz val="8"/>
            <color indexed="81"/>
            <rFont val="Tahoma"/>
            <family val="2"/>
          </rPr>
          <t xml:space="preserve">
Please mention the address as per aadhar </t>
        </r>
      </text>
    </comment>
    <comment ref="B103" authorId="0" shapeId="0" xr:uid="{00000000-0006-0000-0100-000032000000}">
      <text>
        <r>
          <rPr>
            <b/>
            <sz val="8"/>
            <color indexed="81"/>
            <rFont val="Tahoma"/>
            <family val="2"/>
          </rPr>
          <t>Author:</t>
        </r>
        <r>
          <rPr>
            <sz val="8"/>
            <color indexed="81"/>
            <rFont val="Tahoma"/>
            <family val="2"/>
          </rPr>
          <t xml:space="preserve">
Please mention the nominee name </t>
        </r>
      </text>
    </comment>
    <comment ref="B104" authorId="0" shapeId="0" xr:uid="{00000000-0006-0000-0100-000033000000}">
      <text>
        <r>
          <rPr>
            <b/>
            <sz val="8"/>
            <color indexed="81"/>
            <rFont val="Tahoma"/>
            <family val="2"/>
          </rPr>
          <t>Author:</t>
        </r>
        <r>
          <rPr>
            <sz val="8"/>
            <color indexed="81"/>
            <rFont val="Tahoma"/>
            <family val="2"/>
          </rPr>
          <t xml:space="preserve">
Please mention the address</t>
        </r>
      </text>
    </comment>
    <comment ref="B105" authorId="0" shapeId="0" xr:uid="{00000000-0006-0000-0100-000034000000}">
      <text>
        <r>
          <rPr>
            <b/>
            <sz val="8"/>
            <color indexed="81"/>
            <rFont val="Tahoma"/>
            <family val="2"/>
          </rPr>
          <t>Author:</t>
        </r>
        <r>
          <rPr>
            <sz val="8"/>
            <color indexed="81"/>
            <rFont val="Tahoma"/>
            <family val="2"/>
          </rPr>
          <t xml:space="preserve">
Please mention the relationship status </t>
        </r>
      </text>
    </comment>
    <comment ref="B106" authorId="0" shapeId="0" xr:uid="{00000000-0006-0000-0100-000035000000}">
      <text>
        <r>
          <rPr>
            <b/>
            <sz val="8"/>
            <color indexed="81"/>
            <rFont val="Tahoma"/>
            <family val="2"/>
          </rPr>
          <t>Author:</t>
        </r>
        <r>
          <rPr>
            <sz val="8"/>
            <color indexed="81"/>
            <rFont val="Tahoma"/>
            <family val="2"/>
          </rPr>
          <t xml:space="preserve">
Please mention the nominee DOB </t>
        </r>
      </text>
    </comment>
    <comment ref="B107" authorId="0" shapeId="0" xr:uid="{00000000-0006-0000-0100-000036000000}">
      <text>
        <r>
          <rPr>
            <b/>
            <sz val="8"/>
            <color indexed="81"/>
            <rFont val="Tahoma"/>
            <family val="2"/>
          </rPr>
          <t>Author:</t>
        </r>
        <r>
          <rPr>
            <sz val="8"/>
            <color indexed="81"/>
            <rFont val="Tahoma"/>
            <family val="2"/>
          </rPr>
          <t xml:space="preserve">
Please mention the percentage of share paid to each nominee</t>
        </r>
      </text>
    </comment>
    <comment ref="B108" authorId="0" shapeId="0" xr:uid="{00000000-0006-0000-0100-000037000000}">
      <text>
        <r>
          <rPr>
            <b/>
            <sz val="8"/>
            <color indexed="81"/>
            <rFont val="Tahoma"/>
            <family val="2"/>
          </rPr>
          <t xml:space="preserve">Author:
</t>
        </r>
      </text>
    </comment>
    <comment ref="B116" authorId="0" shapeId="0" xr:uid="{00000000-0006-0000-0100-000038000000}">
      <text>
        <r>
          <rPr>
            <b/>
            <sz val="8"/>
            <color indexed="81"/>
            <rFont val="Tahoma"/>
            <family val="2"/>
          </rPr>
          <t>Author:</t>
        </r>
        <r>
          <rPr>
            <sz val="8"/>
            <color indexed="81"/>
            <rFont val="Tahoma"/>
            <family val="2"/>
          </rPr>
          <t xml:space="preserve">
Please enter the previous company UAN no </t>
        </r>
      </text>
    </comment>
    <comment ref="B119" authorId="0" shapeId="0" xr:uid="{00000000-0006-0000-0100-000039000000}">
      <text>
        <r>
          <rPr>
            <b/>
            <sz val="8"/>
            <color indexed="81"/>
            <rFont val="Tahoma"/>
            <family val="2"/>
          </rPr>
          <t>Author:</t>
        </r>
        <r>
          <rPr>
            <sz val="8"/>
            <color indexed="81"/>
            <rFont val="Tahoma"/>
            <family val="2"/>
          </rPr>
          <t xml:space="preserve">
Please mention the last working date of previous company </t>
        </r>
      </text>
    </comment>
    <comment ref="B129" authorId="0" shapeId="0" xr:uid="{00000000-0006-0000-0100-00003A000000}">
      <text>
        <r>
          <rPr>
            <b/>
            <sz val="8"/>
            <color indexed="81"/>
            <rFont val="Tahoma"/>
            <family val="2"/>
          </rPr>
          <t>Author:</t>
        </r>
        <r>
          <rPr>
            <sz val="8"/>
            <color indexed="81"/>
            <rFont val="Tahoma"/>
            <family val="2"/>
          </rPr>
          <t xml:space="preserve">
Please mention the Bank name </t>
        </r>
      </text>
    </comment>
    <comment ref="B130" authorId="0" shapeId="0" xr:uid="{00000000-0006-0000-0100-00003B000000}">
      <text>
        <r>
          <rPr>
            <b/>
            <sz val="8"/>
            <color indexed="81"/>
            <rFont val="Tahoma"/>
            <family val="2"/>
          </rPr>
          <t>Author:</t>
        </r>
        <r>
          <rPr>
            <sz val="8"/>
            <color indexed="81"/>
            <rFont val="Tahoma"/>
            <family val="2"/>
          </rPr>
          <t xml:space="preserve">
Please mention the bank account no </t>
        </r>
      </text>
    </comment>
    <comment ref="B131" authorId="0" shapeId="0" xr:uid="{00000000-0006-0000-0100-00003C000000}">
      <text>
        <r>
          <rPr>
            <b/>
            <sz val="8"/>
            <color indexed="81"/>
            <rFont val="Tahoma"/>
            <family val="2"/>
          </rPr>
          <t>Author:</t>
        </r>
        <r>
          <rPr>
            <sz val="8"/>
            <color indexed="81"/>
            <rFont val="Tahoma"/>
            <family val="2"/>
          </rPr>
          <t xml:space="preserve">
Please enter the IFSC code </t>
        </r>
      </text>
    </comment>
    <comment ref="B134" authorId="0" shapeId="0" xr:uid="{00000000-0006-0000-0100-00003D000000}">
      <text>
        <r>
          <rPr>
            <b/>
            <sz val="8"/>
            <color indexed="81"/>
            <rFont val="Tahoma"/>
            <family val="2"/>
          </rPr>
          <t>Author:</t>
        </r>
        <r>
          <rPr>
            <sz val="8"/>
            <color indexed="81"/>
            <rFont val="Tahoma"/>
            <family val="2"/>
          </rPr>
          <t xml:space="preserve">
Please mention as aadhar </t>
        </r>
      </text>
    </comment>
    <comment ref="B135" authorId="0" shapeId="0" xr:uid="{00000000-0006-0000-0100-00003E000000}">
      <text>
        <r>
          <rPr>
            <b/>
            <sz val="8"/>
            <color indexed="81"/>
            <rFont val="Tahoma"/>
            <family val="2"/>
          </rPr>
          <t>Author:</t>
        </r>
        <r>
          <rPr>
            <sz val="8"/>
            <color indexed="81"/>
            <rFont val="Tahoma"/>
            <family val="2"/>
          </rPr>
          <t xml:space="preserve">
Please mention the aadhar no </t>
        </r>
      </text>
    </comment>
  </commentList>
</comments>
</file>

<file path=xl/sharedStrings.xml><?xml version="1.0" encoding="utf-8"?>
<sst xmlns="http://schemas.openxmlformats.org/spreadsheetml/2006/main" count="1205" uniqueCount="869">
  <si>
    <t>Name</t>
  </si>
  <si>
    <t>Mother's Name</t>
  </si>
  <si>
    <t>Date of birth</t>
  </si>
  <si>
    <t>Client Name</t>
  </si>
  <si>
    <t>Designation</t>
  </si>
  <si>
    <t>Marital Status</t>
  </si>
  <si>
    <t>Blood Group</t>
  </si>
  <si>
    <t>Present Address</t>
  </si>
  <si>
    <t>Phone</t>
  </si>
  <si>
    <t>City:</t>
  </si>
  <si>
    <t>Email Id</t>
  </si>
  <si>
    <t>Emergency Contact No</t>
  </si>
  <si>
    <t>Total Year of Experience</t>
  </si>
  <si>
    <t>Previous Experience</t>
  </si>
  <si>
    <t>S.No</t>
  </si>
  <si>
    <t>Name of the Company</t>
  </si>
  <si>
    <t>Duration</t>
  </si>
  <si>
    <t>Location</t>
  </si>
  <si>
    <t xml:space="preserve">Course </t>
  </si>
  <si>
    <t>University / School</t>
  </si>
  <si>
    <t>Year of Passing</t>
  </si>
  <si>
    <t>Class / Grade</t>
  </si>
  <si>
    <t>Employee no</t>
  </si>
  <si>
    <t>Date of Joining</t>
  </si>
  <si>
    <t>Department</t>
  </si>
  <si>
    <t>Marriage Date</t>
  </si>
  <si>
    <t>Nationality</t>
  </si>
  <si>
    <t>PAN NO</t>
  </si>
  <si>
    <t>Mobile</t>
  </si>
  <si>
    <t>Contact Person</t>
  </si>
  <si>
    <t>OBE'S Name</t>
  </si>
  <si>
    <t>Signature</t>
  </si>
  <si>
    <t>Adecco Staffing - HRIS Form</t>
  </si>
  <si>
    <t>Father Name / Husband's Name</t>
  </si>
  <si>
    <t>Sex</t>
  </si>
  <si>
    <t>Name of Family Member</t>
  </si>
  <si>
    <t>Address</t>
  </si>
  <si>
    <t>Date of Birth</t>
  </si>
  <si>
    <t xml:space="preserve">Nominee </t>
  </si>
  <si>
    <t>Total Amount of Share of Accumulations  in Provident Fund to be paid to each Nominee</t>
  </si>
  <si>
    <t>If the Nominee is a Minor, name and releationship and the address of the receive the amount during the minority of nominee</t>
  </si>
  <si>
    <t>ESI NO ( Smart Card No)</t>
  </si>
  <si>
    <t>AADHAR</t>
  </si>
  <si>
    <t>UAN NO ( old )</t>
  </si>
  <si>
    <t>Family Member Details</t>
  </si>
  <si>
    <r>
      <rPr>
        <b/>
        <sz val="9"/>
        <rFont val="Times New Roman"/>
        <family val="1"/>
      </rPr>
      <t>(FORM 2 REVISED)</t>
    </r>
  </si>
  <si>
    <r>
      <rPr>
        <b/>
        <sz val="9"/>
        <rFont val="Times New Roman"/>
        <family val="1"/>
      </rPr>
      <t>NOMINATION AND DECLARATION FORM FOR UNEXEMPTED/EXEMPTED ESTABLISHMENTS</t>
    </r>
  </si>
  <si>
    <r>
      <rPr>
        <sz val="8"/>
        <rFont val="Times New Roman"/>
        <family val="1"/>
      </rPr>
      <t>Declaration and Nomination Form under the Employees Provident Funds and Employees Pension Schemes</t>
    </r>
  </si>
  <si>
    <r>
      <rPr>
        <sz val="8"/>
        <rFont val="Times New Roman"/>
        <family val="1"/>
      </rPr>
      <t>(Paragraph 33 and 61 (1) of the Employees Provident Fund Scheme 1952 and Paragraph 18 of the Employees Pension Scheme 1995)</t>
    </r>
  </si>
  <si>
    <t xml:space="preserve">1. Name (IN BLOCK LETTERS) </t>
  </si>
  <si>
    <t>Father's Name / Husband's Name</t>
  </si>
  <si>
    <t xml:space="preserve">2. Date of Birth :  </t>
  </si>
  <si>
    <t xml:space="preserve">3. Account No. </t>
  </si>
  <si>
    <r>
      <t xml:space="preserve">4. *Sex :                                            5. Marital Status </t>
    </r>
    <r>
      <rPr>
        <u/>
        <sz val="8"/>
        <rFont val="Times New Roman"/>
        <family val="1"/>
      </rPr>
      <t>                                                                                  </t>
    </r>
  </si>
  <si>
    <t>5. Marital Status     </t>
  </si>
  <si>
    <t>6. Address Permanent / Temporary :</t>
  </si>
  <si>
    <r>
      <rPr>
        <b/>
        <sz val="8"/>
        <rFont val="Times New Roman"/>
        <family val="1"/>
      </rPr>
      <t>PART – A (EPF)</t>
    </r>
  </si>
  <si>
    <r>
      <rPr>
        <sz val="8"/>
        <rFont val="Times New Roman"/>
        <family val="1"/>
      </rPr>
      <t>I hereby nominate the person(s)/cancel the nomination made by me previously and nominate the person(s) mentioned below to receive the amount standing to my credit in the Employees Provident Fund, in the event of my death.</t>
    </r>
  </si>
  <si>
    <r>
      <rPr>
        <sz val="8"/>
        <rFont val="Times New Roman"/>
        <family val="1"/>
      </rPr>
      <t>Name of the Nominee (s)</t>
    </r>
  </si>
  <si>
    <r>
      <rPr>
        <sz val="8"/>
        <rFont val="Times New Roman"/>
        <family val="1"/>
      </rPr>
      <t>Address</t>
    </r>
  </si>
  <si>
    <r>
      <rPr>
        <sz val="8"/>
        <rFont val="Times New Roman"/>
        <family val="1"/>
      </rPr>
      <t>Nominee’s relationship with the member</t>
    </r>
  </si>
  <si>
    <r>
      <rPr>
        <sz val="8"/>
        <rFont val="Times New Roman"/>
        <family val="1"/>
      </rPr>
      <t>Date of Birth</t>
    </r>
  </si>
  <si>
    <r>
      <rPr>
        <sz val="8"/>
        <rFont val="Times New Roman"/>
        <family val="1"/>
      </rPr>
      <t>Total amount or share of accumulations in Provident Funds to be paid to each nominee</t>
    </r>
  </si>
  <si>
    <r>
      <rPr>
        <sz val="8"/>
        <rFont val="Times New Roman"/>
        <family val="1"/>
      </rPr>
      <t>If the nominee is minor name and address of the guardian who may receive the amount during the minority of the nominee</t>
    </r>
  </si>
  <si>
    <t>1  *Certified that I have no family as defined in para 2 (g) of the Employees Provident Fund Scheme 1952 and should Iacquire a family hereafter the above nomination should be deemed as cancelled.</t>
  </si>
  <si>
    <t>2.* Certified that my father/mother is/are dependent upon me.</t>
  </si>
  <si>
    <t xml:space="preserve">  Signature/or thumb impressionof the subscriber</t>
  </si>
  <si>
    <t xml:space="preserve">    *Strike out whichever is not applicable                                                               </t>
  </si>
  <si>
    <r>
      <rPr>
        <sz val="8"/>
        <rFont val="Times New Roman"/>
        <family val="1"/>
      </rPr>
      <t>PART – (EPS)</t>
    </r>
  </si>
  <si>
    <r>
      <rPr>
        <sz val="8"/>
        <rFont val="Times New Roman"/>
        <family val="1"/>
      </rPr>
      <t>Para 18</t>
    </r>
  </si>
  <si>
    <r>
      <rPr>
        <sz val="8"/>
        <rFont val="Times New Roman"/>
        <family val="1"/>
      </rPr>
      <t>I hereby furnish below particulars of the members of my family who would be eligible to receive Widow/Children Pension in the event of my premature death in service.</t>
    </r>
  </si>
  <si>
    <r>
      <rPr>
        <sz val="8"/>
        <rFont val="Times New Roman"/>
        <family val="1"/>
      </rPr>
      <t>Sr. No</t>
    </r>
  </si>
  <si>
    <r>
      <rPr>
        <sz val="8"/>
        <rFont val="Times New Roman"/>
        <family val="1"/>
      </rPr>
      <t>Name &amp; Address of the Family Member</t>
    </r>
  </si>
  <si>
    <r>
      <rPr>
        <sz val="8"/>
        <rFont val="Times New Roman"/>
        <family val="1"/>
      </rPr>
      <t>Age</t>
    </r>
  </si>
  <si>
    <r>
      <rPr>
        <sz val="8"/>
        <rFont val="Times New Roman"/>
        <family val="1"/>
      </rPr>
      <t>Relationship with the member</t>
    </r>
  </si>
  <si>
    <t>Certified that I have no family as defined in  para 2 (vii) of the Employees’s Family Pension Scheme 1995 and should I acquire afamily hereafter I shall furnish Particulars there on in the above form.</t>
  </si>
  <si>
    <t>I hereby nominate the following person for receiving the monthly widow pension (admissible under para 16 2 (a)  (i) &amp; (ii) in theevent of my death without leaving any eligible family member for receiving pension.</t>
  </si>
  <si>
    <r>
      <rPr>
        <sz val="8"/>
        <rFont val="Times New Roman"/>
        <family val="1"/>
      </rPr>
      <t>Name and Address of the nominee</t>
    </r>
  </si>
  <si>
    <r>
      <rPr>
        <sz val="8"/>
        <rFont val="Times New Roman"/>
        <family val="1"/>
      </rPr>
      <t>Relationship with member</t>
    </r>
  </si>
  <si>
    <t xml:space="preserve">Date </t>
  </si>
  <si>
    <t>Signature or thumb impressionof the subscriber</t>
  </si>
  <si>
    <r>
      <rPr>
        <b/>
        <sz val="8"/>
        <rFont val="Times New Roman"/>
        <family val="1"/>
      </rPr>
      <t>CERTIFICATE BY EMPLOYER</t>
    </r>
  </si>
  <si>
    <r>
      <rPr>
        <sz val="8"/>
        <rFont val="Times New Roman"/>
        <family val="1"/>
      </rPr>
      <t>Certified that the above declaration and nomination has been signed / thumb impressed before me by Shri / Smt./</t>
    </r>
  </si>
  <si>
    <t xml:space="preserve">employed in my establishment after he/she has read the entries / the entries </t>
  </si>
  <si>
    <t xml:space="preserve"> have been read over to him/ her by me and got conformed by him / her.</t>
  </si>
  <si>
    <r>
      <rPr>
        <sz val="8"/>
        <rFont val="Times New Roman"/>
        <family val="1"/>
      </rPr>
      <t xml:space="preserve">Date :  </t>
    </r>
    <r>
      <rPr>
        <u/>
        <sz val="8"/>
        <rFont val="Times New Roman"/>
        <family val="1"/>
      </rPr>
      <t>                                            </t>
    </r>
  </si>
  <si>
    <t>Signature of the employer or other authorised officer of theestablishment</t>
  </si>
  <si>
    <r>
      <rPr>
        <sz val="8"/>
        <rFont val="Times New Roman"/>
        <family val="1"/>
      </rPr>
      <t>Name &amp; address of the Factory /Establishment</t>
    </r>
  </si>
  <si>
    <r>
      <rPr>
        <sz val="8"/>
        <rFont val="Times New Roman"/>
        <family val="1"/>
      </rPr>
      <t>Place :</t>
    </r>
  </si>
  <si>
    <r>
      <rPr>
        <sz val="8"/>
        <rFont val="Times New Roman"/>
        <family val="1"/>
      </rPr>
      <t>Date :</t>
    </r>
  </si>
  <si>
    <t>S.NO</t>
  </si>
  <si>
    <t>CLIENT NAME</t>
  </si>
  <si>
    <t>NAME</t>
  </si>
  <si>
    <t>FATHER NAME/HUSBAND</t>
  </si>
  <si>
    <t>DOB</t>
  </si>
  <si>
    <t>DOJ</t>
  </si>
  <si>
    <t>SEX</t>
  </si>
  <si>
    <t>DESIGNATION</t>
  </si>
  <si>
    <t>DEPARTMENT</t>
  </si>
  <si>
    <t>NATIONALITY</t>
  </si>
  <si>
    <t>BLOOD GROUP</t>
  </si>
  <si>
    <t>PRESENT ADDRESS</t>
  </si>
  <si>
    <t>MOBILE NO</t>
  </si>
  <si>
    <t>EMAIL ID</t>
  </si>
  <si>
    <t>AADHAR NO</t>
  </si>
  <si>
    <t>EMERGENCY CONTACT NO</t>
  </si>
  <si>
    <t>CONTACT PERSON</t>
  </si>
  <si>
    <t>TOTAL EXPERIENCE</t>
  </si>
  <si>
    <t>FATHER NAME</t>
  </si>
  <si>
    <t>FATHER DOB</t>
  </si>
  <si>
    <t>MOTHER NAME</t>
  </si>
  <si>
    <t>MOTHER DOB</t>
  </si>
  <si>
    <t>SPOUSE NAME</t>
  </si>
  <si>
    <t>SPOUSE DOB</t>
  </si>
  <si>
    <t>CHILD 1 NAME</t>
  </si>
  <si>
    <t>CHILD 1 DOB</t>
  </si>
  <si>
    <t>CHILD 2 NAME</t>
  </si>
  <si>
    <t>CHILD 2 DOB</t>
  </si>
  <si>
    <t>NOMINEE NAME</t>
  </si>
  <si>
    <t>NOMINEE ADDRESS</t>
  </si>
  <si>
    <t>WORKING LOCATION</t>
  </si>
  <si>
    <t>State &amp; Pin:</t>
  </si>
  <si>
    <t>PHONE NO</t>
  </si>
  <si>
    <t>FORM 'F'</t>
  </si>
  <si>
    <r>
      <t>[</t>
    </r>
    <r>
      <rPr>
        <i/>
        <sz val="10"/>
        <rFont val="Arial"/>
        <family val="2"/>
      </rPr>
      <t>See</t>
    </r>
    <r>
      <rPr>
        <sz val="10"/>
        <rFont val="Arial"/>
        <family val="2"/>
      </rPr>
      <t xml:space="preserve"> sub-rule (1) of rule 6]</t>
    </r>
  </si>
  <si>
    <t>Nomination</t>
  </si>
  <si>
    <t xml:space="preserve">      2. I hereby certify that the person(s) mentioned is a/are member(s) of my family within the meaning of clause (h) of section (2) of the Payment of Gratuity Act, 1972.</t>
  </si>
  <si>
    <t xml:space="preserve">      3. I hereby declare that I have no family within the meaning of clause (h) of section (2) of the said Act.</t>
  </si>
  <si>
    <r>
      <t xml:space="preserve">      4. (a)</t>
    </r>
    <r>
      <rPr>
        <sz val="7"/>
        <rFont val="Times New Roman"/>
        <family val="1"/>
      </rPr>
      <t xml:space="preserve">     </t>
    </r>
    <r>
      <rPr>
        <sz val="10"/>
        <rFont val="Arial"/>
        <family val="2"/>
      </rPr>
      <t>My father/mother/parents is/are not dependent on me.</t>
    </r>
  </si>
  <si>
    <r>
      <t xml:space="preserve">          (b)</t>
    </r>
    <r>
      <rPr>
        <sz val="7"/>
        <rFont val="Times New Roman"/>
        <family val="1"/>
      </rPr>
      <t xml:space="preserve">     </t>
    </r>
    <r>
      <rPr>
        <sz val="10"/>
        <rFont val="Arial"/>
        <family val="2"/>
      </rPr>
      <t>my husband's father/mother/parents is/are not dependent on my husband.</t>
    </r>
  </si>
  <si>
    <t xml:space="preserve">       5. I have excluded my husband from my family by a notice dated the to the Controlling Authority in terms of the proviso to clause (h) of section 2 of the said Act.</t>
  </si>
  <si>
    <t xml:space="preserve">       6. Nomination made herein invalidates my previous nomination.</t>
  </si>
  <si>
    <t>Nominee(s)</t>
  </si>
  <si>
    <t>Name in full with full address of nominee(s)</t>
  </si>
  <si>
    <t xml:space="preserve">Relationship with the employee </t>
  </si>
  <si>
    <t>Age of nominee</t>
  </si>
  <si>
    <t>Proportion by which the gratuity will be shared</t>
  </si>
  <si>
    <t>Statement</t>
  </si>
  <si>
    <r>
      <t>1.</t>
    </r>
    <r>
      <rPr>
        <sz val="7"/>
        <rFont val="Times New Roman"/>
        <family val="1"/>
      </rPr>
      <t xml:space="preserve">       </t>
    </r>
    <r>
      <rPr>
        <sz val="10"/>
        <rFont val="Arial"/>
        <family val="2"/>
      </rPr>
      <t>Name of employee in full.</t>
    </r>
  </si>
  <si>
    <t>:</t>
  </si>
  <si>
    <r>
      <t>2.</t>
    </r>
    <r>
      <rPr>
        <sz val="7"/>
        <rFont val="Times New Roman"/>
        <family val="1"/>
      </rPr>
      <t xml:space="preserve">       </t>
    </r>
    <r>
      <rPr>
        <sz val="10"/>
        <rFont val="Arial"/>
        <family val="2"/>
      </rPr>
      <t>Sex.</t>
    </r>
  </si>
  <si>
    <r>
      <t>3.</t>
    </r>
    <r>
      <rPr>
        <sz val="7"/>
        <rFont val="Times New Roman"/>
        <family val="1"/>
      </rPr>
      <t xml:space="preserve">       </t>
    </r>
    <r>
      <rPr>
        <sz val="10"/>
        <rFont val="Arial"/>
        <family val="2"/>
      </rPr>
      <t>Religion.</t>
    </r>
  </si>
  <si>
    <r>
      <t>4.</t>
    </r>
    <r>
      <rPr>
        <sz val="7"/>
        <rFont val="Times New Roman"/>
        <family val="1"/>
      </rPr>
      <t xml:space="preserve">       </t>
    </r>
    <r>
      <rPr>
        <sz val="10"/>
        <rFont val="Arial"/>
        <family val="2"/>
      </rPr>
      <t>Whether unmarried/married/widow/widower.</t>
    </r>
  </si>
  <si>
    <r>
      <t>5.</t>
    </r>
    <r>
      <rPr>
        <sz val="7"/>
        <rFont val="Times New Roman"/>
        <family val="1"/>
      </rPr>
      <t xml:space="preserve">       </t>
    </r>
    <r>
      <rPr>
        <sz val="10"/>
        <rFont val="Arial"/>
        <family val="2"/>
      </rPr>
      <t>Department/Branch/Section where employed</t>
    </r>
  </si>
  <si>
    <r>
      <t>6.</t>
    </r>
    <r>
      <rPr>
        <sz val="7"/>
        <rFont val="Times New Roman"/>
        <family val="1"/>
      </rPr>
      <t xml:space="preserve">       </t>
    </r>
    <r>
      <rPr>
        <sz val="10"/>
        <rFont val="Arial"/>
        <family val="2"/>
      </rPr>
      <t>Post held with Ticket or Serial No., if any.</t>
    </r>
  </si>
  <si>
    <r>
      <t>7.</t>
    </r>
    <r>
      <rPr>
        <sz val="7"/>
        <rFont val="Times New Roman"/>
        <family val="1"/>
      </rPr>
      <t xml:space="preserve">       </t>
    </r>
    <r>
      <rPr>
        <sz val="10"/>
        <rFont val="Arial"/>
        <family val="2"/>
      </rPr>
      <t>Date of appointment.</t>
    </r>
  </si>
  <si>
    <r>
      <t>8.</t>
    </r>
    <r>
      <rPr>
        <sz val="7"/>
        <rFont val="Times New Roman"/>
        <family val="1"/>
      </rPr>
      <t xml:space="preserve">       </t>
    </r>
    <r>
      <rPr>
        <sz val="10"/>
        <rFont val="Arial"/>
        <family val="2"/>
      </rPr>
      <t>Permanent address.</t>
    </r>
  </si>
  <si>
    <t>Place :</t>
  </si>
  <si>
    <t>Signature/Thumb impression of the employee</t>
  </si>
  <si>
    <t>Date   :</t>
  </si>
  <si>
    <t>Declaration by witnesses</t>
  </si>
  <si>
    <t>Nomination signed/thumb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</si>
  <si>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</si>
  <si>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</si>
  <si>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</si>
  <si>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</si>
  <si>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</si>
  <si>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 xml:space="preserve">        </t>
  </si>
  <si>
    <t>Signature of the employer/officer authorised</t>
  </si>
  <si>
    <t xml:space="preserve">              </t>
  </si>
  <si>
    <t xml:space="preserve">     Designation</t>
  </si>
  <si>
    <t xml:space="preserve">                                 </t>
  </si>
  <si>
    <t>Name and address of the establishment or rubber stamp thereof.</t>
  </si>
  <si>
    <t xml:space="preserve">   </t>
  </si>
  <si>
    <t>Acknowledgement by the employee</t>
  </si>
  <si>
    <t>Received the duplicate copy of nomination in Form 'F' filed by me and duly certified by the employer.</t>
  </si>
  <si>
    <t>Signature of the employee</t>
  </si>
  <si>
    <t>EMPLOYEES’ STATE INSURANCE CORPORATION</t>
  </si>
  <si>
    <t>FORM- 1</t>
  </si>
  <si>
    <t>To be filled in by the employee after reading instructions overleaf. Two Postcard Size photographs are to be attached with this form. This form is free of cost.</t>
  </si>
  <si>
    <t>(A) INSURED PERSON’S PARTICULARS                                        (b) EMPLOYER’S PARTICULARS</t>
  </si>
  <si>
    <t>1. Insurance No.</t>
  </si>
  <si>
    <r>
      <rPr>
        <sz val="26"/>
        <rFont val="Times New Roman"/>
        <family val="1"/>
      </rPr>
      <t>Employer’s Code No.</t>
    </r>
  </si>
  <si>
    <r>
      <rPr>
        <sz val="26"/>
        <rFont val="Times New Roman"/>
        <family val="1"/>
      </rPr>
      <t>2 Name (in block letters)</t>
    </r>
  </si>
  <si>
    <r>
      <rPr>
        <sz val="26"/>
        <rFont val="Times New Roman"/>
        <family val="1"/>
      </rPr>
      <t>10. Date of Appointment</t>
    </r>
  </si>
  <si>
    <t>Day</t>
  </si>
  <si>
    <t>Month</t>
  </si>
  <si>
    <t>Year</t>
  </si>
  <si>
    <r>
      <rPr>
        <sz val="26"/>
        <rFont val="Times New Roman"/>
        <family val="1"/>
      </rPr>
      <t>Father’s/Husband’s Name</t>
    </r>
  </si>
  <si>
    <r>
      <rPr>
        <sz val="26"/>
        <rFont val="Times New Roman"/>
        <family val="1"/>
      </rPr>
      <t>Marital Status</t>
    </r>
  </si>
  <si>
    <r>
      <rPr>
        <sz val="26"/>
        <rFont val="Times New Roman"/>
        <family val="1"/>
      </rPr>
      <t xml:space="preserve">11. Name &amp; Address of the Employer
</t>
    </r>
    <r>
      <rPr>
        <u/>
        <sz val="26"/>
        <rFont val="Times New Roman"/>
        <family val="1"/>
      </rPr>
      <t>                                                                            </t>
    </r>
  </si>
  <si>
    <t>6.Sex</t>
  </si>
  <si>
    <r>
      <t xml:space="preserve">7. Present Address
</t>
    </r>
    <r>
      <rPr>
        <sz val="9"/>
        <rFont val="Verdana"/>
        <family val="2"/>
      </rPr>
      <t/>
    </r>
  </si>
  <si>
    <r>
      <t xml:space="preserve">8. Permanent Address
</t>
    </r>
    <r>
      <rPr>
        <sz val="9"/>
        <rFont val="Verdana"/>
        <family val="2"/>
      </rPr>
      <t/>
    </r>
  </si>
  <si>
    <r>
      <rPr>
        <sz val="26"/>
        <rFont val="Times New Roman"/>
        <family val="1"/>
      </rPr>
      <t>12. In case of any previous employment please fill up the details as under:-</t>
    </r>
  </si>
  <si>
    <t>a) Previous Ins.No.</t>
  </si>
  <si>
    <t>b) Emplr’s Code No.</t>
  </si>
  <si>
    <t xml:space="preserve">Pin Code </t>
  </si>
  <si>
    <r>
      <rPr>
        <sz val="26"/>
        <rFont val="Times New Roman"/>
        <family val="1"/>
      </rPr>
      <t>C) Name &amp; address of the Employer
e-mail address</t>
    </r>
  </si>
  <si>
    <t>e-mail address</t>
  </si>
  <si>
    <t>Branch Office</t>
  </si>
  <si>
    <t>Dispensary</t>
  </si>
  <si>
    <t>Relationship</t>
  </si>
  <si>
    <t>Counter signature by the employer</t>
  </si>
  <si>
    <t>Signature/T.I.of IP</t>
  </si>
  <si>
    <t>Signature with Seal</t>
  </si>
  <si>
    <t>(D) FAMILY PARTICULARS OF INSURED PERSON</t>
  </si>
  <si>
    <r>
      <rPr>
        <sz val="26"/>
        <rFont val="Times New Roman"/>
        <family val="1"/>
      </rPr>
      <t>Sl.
No.</t>
    </r>
  </si>
  <si>
    <t>Date of Birth/ Age as on date of filling form</t>
  </si>
  <si>
    <t>Relationship with the Employee</t>
  </si>
  <si>
    <t>Whether residing with him/her?</t>
  </si>
  <si>
    <t>If’No’, state place of Residence</t>
  </si>
  <si>
    <t>Yes</t>
  </si>
  <si>
    <t>No</t>
  </si>
  <si>
    <t>Town</t>
  </si>
  <si>
    <t>State</t>
  </si>
  <si>
    <t>………………..…………………………………………………………………………………………………………………………………………………………………………………………………………………..</t>
  </si>
  <si>
    <t>ESI Corporation 
Temporary Identity Card</t>
  </si>
  <si>
    <t xml:space="preserve"> (Valid for 3 months from the date of appointment)</t>
  </si>
  <si>
    <t>Ins.No.</t>
  </si>
  <si>
    <t>Date of appointment</t>
  </si>
  <si>
    <r>
      <rPr>
        <sz val="26"/>
        <rFont val="Times New Roman"/>
        <family val="1"/>
      </rPr>
      <t>Employer’s Code No. &amp; Address</t>
    </r>
  </si>
  <si>
    <t>Validity:</t>
  </si>
  <si>
    <t xml:space="preserve">Dated:  </t>
  </si>
  <si>
    <t xml:space="preserve">  Signature/T.I. of I.P </t>
  </si>
  <si>
    <t>Signature of B.M. with Seal</t>
  </si>
  <si>
    <t>INSTRUCTIONS</t>
  </si>
  <si>
    <r>
      <rPr>
        <sz val="26"/>
        <rFont val="Times New Roman"/>
        <family val="1"/>
      </rPr>
      <t>1. Submission of Form-1 is governed by regulations 11 &amp; 12 of ESI (General) Regulations, 1950.</t>
    </r>
  </si>
  <si>
    <r>
      <rPr>
        <sz val="26"/>
        <rFont val="Times New Roman"/>
        <family val="1"/>
      </rPr>
      <t>2. “Family” means all or any of the following relatives of an Insured Person namely:-</t>
    </r>
  </si>
  <si>
    <t>(i) A spouse (ii) a minor legitimate or adopted child dependant upon the I.P;(iii) a child who is wholly</t>
  </si>
  <si>
    <t>dependant on the earnings of the I.P. and who is (a)receiving education, till he or she attains the age of</t>
  </si>
  <si>
    <r>
      <rPr>
        <sz val="26"/>
        <rFont val="Times New Roman"/>
        <family val="1"/>
      </rPr>
      <t>21 years (b)an un married daughter; (iv) a child who is infirm by reason of any physical or mental abnormity or injury and is wholly dependant on the earnings of the I.P. so long as the infirmity continues; (v) dependant parents (Please see Section 2 clause 11 of the ESI Act 1948 for details).</t>
    </r>
  </si>
  <si>
    <r>
      <rPr>
        <sz val="26"/>
        <rFont val="Times New Roman"/>
        <family val="1"/>
      </rPr>
      <t>3. Identity Card is Non-transferable.</t>
    </r>
  </si>
  <si>
    <r>
      <rPr>
        <sz val="26"/>
        <rFont val="Times New Roman"/>
        <family val="1"/>
      </rPr>
      <t>4. Loss of Identity Card be reported to Employer/Branch Manager immediately.</t>
    </r>
  </si>
  <si>
    <r>
      <rPr>
        <sz val="26"/>
        <rFont val="Times New Roman"/>
        <family val="1"/>
      </rPr>
      <t>5. Submission of false information attracts penal action under Section 84 of ESI Act, 1948.</t>
    </r>
  </si>
  <si>
    <r>
      <rPr>
        <sz val="26"/>
        <rFont val="Times New Roman"/>
        <family val="1"/>
      </rPr>
      <t>6. This form duly filled in must reach the  concerned Branch office within 10 days of appointment of an Employee. Delay attracts penal action under Section 85 of the Act, against employer.</t>
    </r>
  </si>
  <si>
    <r>
      <rPr>
        <sz val="26"/>
        <rFont val="Times New Roman"/>
        <family val="1"/>
      </rPr>
      <t>7. As an Insured person you and your dependent family members are entitled to full medical care. The other benefits in cash include (1) sickness Benefit (2) Temporary Disablement benefit (3) Permanent disablement  Benefit (4) Dependents benefit and (5) Maternity Benefit (incase of women employees</t>
    </r>
  </si>
  <si>
    <t>subject to fulfillment of contributory conditions.</t>
  </si>
  <si>
    <r>
      <rPr>
        <sz val="26"/>
        <rFont val="Times New Roman"/>
        <family val="1"/>
      </rPr>
      <t xml:space="preserve">8. For more details Please Visit website of ESIC at  </t>
    </r>
    <r>
      <rPr>
        <u/>
        <sz val="26"/>
        <color rgb="FF0000FF"/>
        <rFont val="Times New Roman"/>
        <family val="1"/>
      </rPr>
      <t>WWW.esic.nic.in </t>
    </r>
    <r>
      <rPr>
        <sz val="26"/>
        <rFont val="Times New Roman"/>
        <family val="1"/>
      </rPr>
      <t xml:space="preserve">or </t>
    </r>
    <r>
      <rPr>
        <u/>
        <sz val="26"/>
        <color rgb="FF0000FF"/>
        <rFont val="Times New Roman"/>
        <family val="1"/>
      </rPr>
      <t>www.esickar.gov.in </t>
    </r>
    <r>
      <rPr>
        <sz val="26"/>
        <rFont val="Times New Roman"/>
        <family val="1"/>
      </rPr>
      <t>contact Regional office or Branch Office.</t>
    </r>
  </si>
  <si>
    <t>FOR BRANCH OFFICE USE ONLY</t>
  </si>
  <si>
    <t xml:space="preserve"> Date of Allotment of Ins. No.  </t>
  </si>
  <si>
    <t>Date of issue of TIC :                                                                                                                                                              </t>
  </si>
  <si>
    <t xml:space="preserve">Name/ No. of Disp : </t>
  </si>
  <si>
    <t>Whether reciprocal Medical arrangements involved? If yes, please indicate :</t>
  </si>
  <si>
    <t>………………………………………………………………………………………………………………………………………………………………………………………………………………………………………….</t>
  </si>
  <si>
    <t>Form I</t>
  </si>
  <si>
    <t>NOMINATION AND DECLARATION FORM</t>
  </si>
  <si>
    <t>[See Rule 3 ]</t>
  </si>
  <si>
    <t>Name of Person making nomination ( in Block Letters )</t>
  </si>
  <si>
    <t>Father' s / Husband's Name</t>
  </si>
  <si>
    <t>Permanent</t>
  </si>
  <si>
    <t>Temporary</t>
  </si>
  <si>
    <t>Name of the nominee/ 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</si>
  <si>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</si>
  <si>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</si>
  <si>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</si>
  <si>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</si>
  <si>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</si>
  <si>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</si>
  <si>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</si>
  <si>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</si>
  <si>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</si>
  <si>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1.Certified that I have no family and should I acquire a family hereafter, the above nomination shall be deemed as cancelled.</t>
  </si>
  <si>
    <t>2.Certified that my *father/mother is/ are dependent upon me.</t>
  </si>
  <si>
    <t>*Strike out whichever is not applicable</t>
  </si>
  <si>
    <t>CERTIFICATE BY EMPLOYER</t>
  </si>
  <si>
    <t>Certificed that the above declaration and nomination has been signed/thumb impressed before me by Shri / Smt./Kum</t>
  </si>
  <si>
    <t>Signature of employer or other authorised officer of the establishment and Designation</t>
  </si>
  <si>
    <t>Place______________</t>
  </si>
  <si>
    <t>Date ______________</t>
  </si>
  <si>
    <t>Name and Address of the Factory, Establishment and rubber stamp thereof</t>
  </si>
  <si>
    <t>APPLICANT ID</t>
  </si>
  <si>
    <t>NomineeDOB</t>
  </si>
  <si>
    <t>EMP CODE</t>
  </si>
  <si>
    <t>Address of the Nominee</t>
  </si>
  <si>
    <t xml:space="preserve">        I. Shri/Shrimati/Kumari.</t>
  </si>
  <si>
    <t>whose particulars are given 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t>
  </si>
  <si>
    <t>Name of the Nominee / Nominees</t>
  </si>
  <si>
    <t>Religion</t>
  </si>
  <si>
    <t>ADECCO BRANCH ADDRESS</t>
  </si>
  <si>
    <t>Contract Start Period</t>
  </si>
  <si>
    <t>Contract END Period</t>
  </si>
  <si>
    <t>Working Location</t>
  </si>
  <si>
    <t>Applicant ID</t>
  </si>
  <si>
    <t>(</t>
  </si>
  <si>
    <t>Bank Account No</t>
  </si>
  <si>
    <t>Bank Name</t>
  </si>
  <si>
    <t>IFSC Code</t>
  </si>
  <si>
    <t>Name of KYC Documets</t>
  </si>
  <si>
    <t>KYC Document Number</t>
  </si>
  <si>
    <t>Remarks If any</t>
  </si>
  <si>
    <t>( KYC Document Type ( DRIVING LICENCE, PASSPORT, ELECTION CARD, RATION CARD, ESIC CARD )</t>
  </si>
  <si>
    <t>WHETHER EARLIER A MEMBER OF THE EMPLOYEES’ PROVIDENT FUND SCHEME, 1952?</t>
  </si>
  <si>
    <t>FORM "XIV"</t>
  </si>
  <si>
    <t>[ See Rule 76]</t>
  </si>
  <si>
    <t>Employment Card</t>
  </si>
  <si>
    <t>Name and address of Contractor</t>
  </si>
  <si>
    <t xml:space="preserve">Name and address of Establishment in /  </t>
  </si>
  <si>
    <t>under which contract is carried on</t>
  </si>
  <si>
    <t>Nautre and location of work</t>
  </si>
  <si>
    <t>Name and address of Principal Employer</t>
  </si>
  <si>
    <t>Name of the workman</t>
  </si>
  <si>
    <t>SI.No. in the register of workmen employed</t>
  </si>
  <si>
    <t>Nature of employment/Designation</t>
  </si>
  <si>
    <t>Wages rate(with particulars of unit, in case of piece-work)</t>
  </si>
  <si>
    <t>Wages period</t>
  </si>
  <si>
    <t>Monthly</t>
  </si>
  <si>
    <t>Tenure of employment</t>
  </si>
  <si>
    <t>Remarks</t>
  </si>
  <si>
    <t>To</t>
  </si>
  <si>
    <t>Nominee DOB</t>
  </si>
  <si>
    <t>NOMINEE 1 NAME</t>
  </si>
  <si>
    <t>NOMINEE 1 ADDRESS</t>
  </si>
  <si>
    <t>Nominee  1 DOB</t>
  </si>
  <si>
    <t>PERMANENT ADDRESS</t>
  </si>
  <si>
    <t>FAMILY MEMBER ADDRESS</t>
  </si>
  <si>
    <t>Permanent Address</t>
  </si>
  <si>
    <t>Signature or the thumb impression of the employed person.</t>
  </si>
  <si>
    <t>I hereby nominate the person(S)/cancel the nomination made by me previously and nominate the person(s) mentioned below to receive any amount due to me from the employer, in the event to my death.</t>
  </si>
  <si>
    <t>Relationship With the Member</t>
  </si>
  <si>
    <t>Educationl Qualification ( Pls Mention from 10th Standard to highest graduation )</t>
  </si>
  <si>
    <t>Nominee Relation Ship with the Member /</t>
  </si>
  <si>
    <t>employed in my establishment after he/she has read the entry / entries have been read over to him/her by me and got confirmed by him/her.</t>
  </si>
  <si>
    <t>( C) Details of Nominee u/ s 7 1 of ESI  Act 1 9 4 8 / Rule 5 6 ( 2 ) of ESI  ( Central) Rules, 1 9 5 0 for payment of cash benefit in the event of death.</t>
  </si>
  <si>
    <t>I hereby declare that the particulars given by me are correct to the best of my knowledge and belief. I undertake to intimate the Corporation any changes in the membership of my family within 15 days of such change.</t>
  </si>
  <si>
    <t>Signature of Branch Manager</t>
  </si>
  <si>
    <t>Passport No</t>
  </si>
  <si>
    <t>Passport No of the associate</t>
  </si>
  <si>
    <t>REFERENCE NAME</t>
  </si>
  <si>
    <t>REFERENCE DESIGNATION</t>
  </si>
  <si>
    <t>REFERENCES RELATIONSHIP</t>
  </si>
  <si>
    <t>REFERENCES CONTANCT NO</t>
  </si>
  <si>
    <t>REFERENCE NAME 1</t>
  </si>
  <si>
    <t>REFERENCE DESIGNATION 1</t>
  </si>
  <si>
    <t>REFERENCES RELATIONSHIP 1</t>
  </si>
  <si>
    <t>REFERENCES CONTANCT NO 1</t>
  </si>
  <si>
    <t>REFERENCE ORGNAISATION 1</t>
  </si>
  <si>
    <t>REFERENCE NAME 2</t>
  </si>
  <si>
    <t>REFERENCE DESIGNATION 2</t>
  </si>
  <si>
    <t>REFERENCE ORGNAISATION 2</t>
  </si>
  <si>
    <t>REFERENCES RELATIONSHIP 2</t>
  </si>
  <si>
    <t>REFERENCES CONTANCT NO 2</t>
  </si>
  <si>
    <t>REFERENCE ORGNAISATION</t>
  </si>
  <si>
    <t>Employees’ Provident Fund Organization</t>
  </si>
  <si>
    <t>NEW FORM 11 - Declaration Form</t>
  </si>
  <si>
    <t xml:space="preserve"> (To be retained by the Employer for future reference)</t>
  </si>
  <si>
    <t>The Employees' Provident Funds Scheme,1952 ( Paragraph - 34 &amp; 57 )&amp;</t>
  </si>
  <si>
    <t>The Employees' Pension Scheme, 1995 ( Pragraph -24 )</t>
  </si>
  <si>
    <t>( Declration By a Person Taking Up employment in any establishment on which EPF Scheme, 1952  and /or EPS 1995 is applicable )</t>
  </si>
  <si>
    <t>Name of the member</t>
  </si>
  <si>
    <t>Father's Name / Husband's Name
(Please tick whichever is applicable )</t>
  </si>
  <si>
    <r>
      <t xml:space="preserve">2. Date of Birth :  </t>
    </r>
    <r>
      <rPr>
        <b/>
        <sz val="8"/>
        <rFont val="Times New Roman"/>
        <family val="1"/>
      </rPr>
      <t>(DD/MM/YYYY)</t>
    </r>
  </si>
  <si>
    <t>Gender : ( Male / Female / Transgender )</t>
  </si>
  <si>
    <t>Marital Status ( Married / Unmarried/Widow/Widower / Divorce )</t>
  </si>
  <si>
    <t>(a) Email id:</t>
  </si>
  <si>
    <t>(b) Mobile no</t>
  </si>
  <si>
    <t>Whether earlier a member of Employees' Provident Fund Scheme, 1952</t>
  </si>
  <si>
    <t>Whether earlier a member of Employees' Pension Scheme, 1995</t>
  </si>
  <si>
    <t>Yes / No</t>
  </si>
  <si>
    <t>Previous Employment details : [if  Yes to 7 AND/OR 8 above ]</t>
  </si>
  <si>
    <t>a) Universal Account number:</t>
  </si>
  <si>
    <t>b) Prvious PF Account number:</t>
  </si>
  <si>
    <t>c) Date of exit from prvious employement: (DD/MM/YYYY)</t>
  </si>
  <si>
    <t>d) Scheme Certificate No: ( if issued )</t>
  </si>
  <si>
    <t>e) Pension Payment Order ( PPO) No.(if issued )</t>
  </si>
  <si>
    <t>a) International Worker:</t>
  </si>
  <si>
    <t>b) if yes, State Country of orgin ( India / Name of the Country )</t>
  </si>
  <si>
    <t>c) Passport no:</t>
  </si>
  <si>
    <t>d) Valid of passport ( DD/MM/YYYY) to ( DD/MM/YYYY)</t>
  </si>
  <si>
    <r>
      <rPr>
        <b/>
        <sz val="8"/>
        <rFont val="Times New Roman"/>
        <family val="1"/>
      </rPr>
      <t>KYC Details :</t>
    </r>
    <r>
      <rPr>
        <sz val="8"/>
        <rFont val="Times New Roman"/>
        <family val="1"/>
      </rPr>
      <t xml:space="preserve"> ( attach self attested copies of following KYC's)</t>
    </r>
  </si>
  <si>
    <t xml:space="preserve">a) Bank Account No: &amp; IFS Code </t>
  </si>
  <si>
    <t>b) AADHAR Number :</t>
  </si>
  <si>
    <t xml:space="preserve">c) Permanent Account Number ( PAN ), if available </t>
  </si>
  <si>
    <t xml:space="preserve">UNDERTAKING </t>
  </si>
  <si>
    <t>1) Certified the particulars are true to the best of my knowledge</t>
  </si>
  <si>
    <t>2) I authorize EPFO to use my Aadhar for verfication/authentication/eKYC purpose for service delivery.</t>
  </si>
  <si>
    <t>3) Kindly transfer the funds and service details, if applicable, from the previous PF account as declared above to the present P.F Account.</t>
  </si>
  <si>
    <t>( The transfer would be possible only if the identifed KYC detail approved by previous employer has been verfied by present employer 
using his Digital Signature Certificate )</t>
  </si>
  <si>
    <t>4) In case of changes in above details, the same will be intimated to employer at the earliest</t>
  </si>
  <si>
    <t>Date :</t>
  </si>
  <si>
    <t>Signature of Member</t>
  </si>
  <si>
    <t>Place:</t>
  </si>
  <si>
    <t>DECLARATION BY PRESENT EMPLOYER</t>
  </si>
  <si>
    <r>
      <t>A.        The member Mr./Ms./Mrs. ………………………….. Has joined on</t>
    </r>
    <r>
      <rPr>
        <sz val="8"/>
        <rFont val="Tahoma"/>
        <family val="2"/>
      </rPr>
      <t xml:space="preserve"> </t>
    </r>
    <r>
      <rPr>
        <sz val="10"/>
        <rFont val="Tahoma"/>
        <family val="2"/>
      </rPr>
      <t>………………….. And has been allotted PF number</t>
    </r>
  </si>
  <si>
    <t xml:space="preserve"> …………………………..…………..……..……..……..……..……..……..……..……..……..……..……..……..……..……..</t>
  </si>
  <si>
    <t>B.    In case the person was earlier not a member of EPF Scheme, 1952  and EPS 1995 :</t>
  </si>
  <si>
    <r>
      <t xml:space="preserve">     </t>
    </r>
    <r>
      <rPr>
        <b/>
        <sz val="8"/>
        <rFont val="Times New Roman"/>
        <family val="1"/>
      </rPr>
      <t xml:space="preserve"> (Post allotment of UAN )</t>
    </r>
    <r>
      <rPr>
        <sz val="8"/>
        <rFont val="Times New Roman"/>
        <family val="1"/>
      </rPr>
      <t xml:space="preserve"> The  UAN allotted for the member is  …………………………</t>
    </r>
  </si>
  <si>
    <r>
      <t xml:space="preserve">     </t>
    </r>
    <r>
      <rPr>
        <b/>
        <sz val="8"/>
        <rFont val="Times New Roman"/>
        <family val="1"/>
      </rPr>
      <t xml:space="preserve"> Please Tick the Appropriate Option :</t>
    </r>
    <r>
      <rPr>
        <sz val="8"/>
        <rFont val="Times New Roman"/>
        <family val="1"/>
      </rPr>
      <t xml:space="preserve"> </t>
    </r>
  </si>
  <si>
    <t>The KYC details of the above member in the UAN database</t>
  </si>
  <si>
    <t xml:space="preserve">□   Have not been upoaded </t>
  </si>
  <si>
    <t>□   Have been uploaded but not approved</t>
  </si>
  <si>
    <t xml:space="preserve">□   Have been uploaded and approved with DSC </t>
  </si>
  <si>
    <t>C.    In case the person was earlier a member of EPS Scheme, 1952 and EPS, 1995 :</t>
  </si>
  <si>
    <t>   The above PF Account number/ UAN of the member as mentioned in (A) above has been tagged with his/her UAN/ Previous 
Member ID as declared by member.</t>
  </si>
  <si>
    <r>
      <rPr>
        <sz val="8"/>
        <rFont val="Symbol"/>
        <family val="1"/>
      </rPr>
      <t xml:space="preserve">     </t>
    </r>
    <r>
      <rPr>
        <sz val="8"/>
        <rFont val="Tahoma"/>
        <family val="2"/>
      </rPr>
      <t xml:space="preserve"> </t>
    </r>
    <r>
      <rPr>
        <b/>
        <sz val="8"/>
        <rFont val="Tahoma"/>
        <family val="2"/>
      </rPr>
      <t>Please Tick the Appropriate Option:-</t>
    </r>
  </si>
  <si>
    <r>
      <rPr>
        <sz val="8"/>
        <rFont val="Courier New"/>
        <family val="3"/>
      </rPr>
      <t xml:space="preserve">□  </t>
    </r>
    <r>
      <rPr>
        <sz val="8"/>
        <rFont val="Tahoma"/>
        <family val="2"/>
      </rPr>
      <t>The KYC details of the above member in the UAN database have been approved with Digital Signature Certificate and 
       transfer request has been generated on portal.</t>
    </r>
  </si>
  <si>
    <r>
      <rPr>
        <sz val="8"/>
        <rFont val="Courier New"/>
        <family val="3"/>
      </rPr>
      <t xml:space="preserve">□  </t>
    </r>
    <r>
      <rPr>
        <sz val="8"/>
        <rFont val="Tahoma"/>
        <family val="2"/>
      </rPr>
      <t xml:space="preserve"> As the DSC of establishment are not registered with EPFO, the member has been informed to file physical claim ( Form - 
13 ) for tranfer of funds from his previous establishment.</t>
    </r>
  </si>
  <si>
    <t>Signature of Employer with Seal of Establishment</t>
  </si>
  <si>
    <t>New Form No.11 Declaration Form  – Notes</t>
  </si>
  <si>
    <t>b) The employer shall before taking any person into employment, ask him / her to state in writing whether or not he is a member of the Employees Pension Fund and, if he / she is, also ask him / her to furnish a copy of the Scheme Certificate issued by the Commissioner to him / her in respect of the past employment in terms of paragraph 12 of the Employees Pension Scheme 1995 as the case may be.  If the person concerned was not in employment previously or had availed of return of contribution in respect of his / her previous employment, he / she shall, on demand by the employer, furnish to him, for communication to the Commissioner particulars concerning him /herself and his / her family in the Form prescribed by the Central Provident Fund Commissioner. Provided that if such person is a person with disability, the aforesaid Form shall further contain such particulars as are necessary for such person.</t>
  </si>
  <si>
    <t>2) Inter-State transfer of members or transfer of membership to an exempted establishment</t>
  </si>
  <si>
    <t xml:space="preserve">Where a member of the Fund ceases to be employed in one region and secures employment in another region in an establishment to which this Scheme applies or which is an exempted establishment or which is not in www.epfindia.gov covered under the Act but has a provident funds scheme of its own, he may apply to the Commissioner within whose jurisdiction he was previously employed, in such form as the Commissioner may specify, for transfer of balance of  the provident fund in his existing account to his account in the other region or to his account with the exempted establishment having provident funds scheme of its own.  Where a member of the Fund ceases to be employed in one establishment and secures employment in another establishment in the same region, he may apply to the Commissioner of the region, in such form as the Commissioner may specify for the transfer of balance of the Provident Fund in his previous account to his account in the new establishment where he takes up the employment. </t>
  </si>
  <si>
    <r>
      <t>(1)</t>
    </r>
    <r>
      <rPr>
        <b/>
        <sz val="9"/>
        <color theme="1"/>
        <rFont val="Times New Roman"/>
        <family val="1"/>
      </rPr>
      <t xml:space="preserve">    </t>
    </r>
    <r>
      <rPr>
        <b/>
        <sz val="9"/>
        <color theme="1"/>
        <rFont val="Calibri"/>
        <family val="2"/>
        <scheme val="minor"/>
      </rPr>
      <t>Declaration by persons taking up employment after the fund has been established.</t>
    </r>
  </si>
  <si>
    <t>a) The employer in relation to a factory or other establishment shall, before taking any person into employment, ask him to state in writing whether or not he is a member of the Fund and if he is, ask for the Account Number and / or the name and particulars of the last employer.  If he is unable to furnish the Account Number, he shall require such person to furnish and such person shall, on demand, furnish to him for communication to the Commissioner, particulars regarding himself and his nominee required for the Declaration Form.  Such employer shall enter the particulars in the Declaration Form and obtain the signature or thumb impression of the person concerned. Provided that in the case of any such employee who has become a member of the Family Pension Fund under the Employees’ Family Pension Scheme, 1971, the aforesaid Declaration Form shall also contain such particulars as are necessary to comply with the requirements of that Scheme</t>
  </si>
  <si>
    <t>Bangalore</t>
  </si>
  <si>
    <t>Father</t>
  </si>
  <si>
    <t>Mother</t>
  </si>
  <si>
    <t xml:space="preserve">MALE </t>
  </si>
  <si>
    <t xml:space="preserve">Married </t>
  </si>
  <si>
    <t>Hindu</t>
  </si>
  <si>
    <t>Indian</t>
  </si>
  <si>
    <t>Karnataka</t>
  </si>
  <si>
    <t xml:space="preserve">Karnataka </t>
  </si>
  <si>
    <t>Bosch Automotives (RBAI)</t>
  </si>
  <si>
    <t>Management Trainee</t>
  </si>
  <si>
    <t>First Class</t>
  </si>
  <si>
    <t>First class</t>
  </si>
  <si>
    <t>MBA / National school of business</t>
  </si>
  <si>
    <t>A</t>
  </si>
  <si>
    <t>23/6/1963</t>
  </si>
  <si>
    <t>Total Amount of Share of Accumulations 
 in Provident Fund to be paid to each Nominee</t>
  </si>
  <si>
    <t>If the Nominee is a Minor, name and relationship and the address of
 the receive the amount during the minority of nominee</t>
  </si>
  <si>
    <t>RELATION SHIP WITH
 THE EMPLOYEE</t>
  </si>
  <si>
    <t>RELATION SHIP WITH 
THE Member</t>
  </si>
  <si>
    <t>Nominee  1 Relation Ship 
with the Member</t>
  </si>
  <si>
    <t>Total Amount of Share of Accumulations  
in Provident Fund to be paid to each Nominee 1</t>
  </si>
  <si>
    <t>If the Nominee is a Minor, name and relationship and the address 
of the receive the amount during the minority of nominee 1</t>
  </si>
  <si>
    <t>ABC limited</t>
  </si>
  <si>
    <t>ABC Location</t>
  </si>
  <si>
    <t>SR SCS</t>
  </si>
  <si>
    <t>Operations</t>
  </si>
  <si>
    <t>SSC</t>
  </si>
  <si>
    <t>Serco 123, Goregaon</t>
  </si>
  <si>
    <t>Mumbai</t>
  </si>
  <si>
    <t>E-Mart</t>
  </si>
  <si>
    <t>Team member</t>
  </si>
  <si>
    <t>Bcom</t>
  </si>
  <si>
    <t>HSC</t>
  </si>
  <si>
    <t>Bangalore University</t>
  </si>
  <si>
    <t>Mumbai University</t>
  </si>
  <si>
    <t>NMIS</t>
  </si>
  <si>
    <t>Spouse</t>
  </si>
  <si>
    <t>Son</t>
  </si>
  <si>
    <t>HDFC Bank</t>
  </si>
  <si>
    <t>1234567865432</t>
  </si>
  <si>
    <t>HDFC1234</t>
  </si>
  <si>
    <t>AADHAR card</t>
  </si>
  <si>
    <t>Adecco Bnagalore, ABC, Bangalore 401202</t>
  </si>
  <si>
    <t>P123455667</t>
  </si>
  <si>
    <t>Sample entry</t>
  </si>
  <si>
    <t>Fields</t>
  </si>
  <si>
    <t>Inputs</t>
  </si>
  <si>
    <t>PRESENT CITY</t>
  </si>
  <si>
    <t>PRESENT STATE</t>
  </si>
  <si>
    <t>PRESENT PINCODE</t>
  </si>
  <si>
    <t>PERMANENT CITY</t>
  </si>
  <si>
    <t>PERMANENT STATE</t>
  </si>
  <si>
    <t>PERMANENT PINCODE</t>
  </si>
  <si>
    <t>NAME OF THE Last COMPANY</t>
  </si>
  <si>
    <t xml:space="preserve"> Last COMPANY DURAITON in months</t>
  </si>
  <si>
    <t>Last COMPANY DESIGNATION</t>
  </si>
  <si>
    <t>Last COMPANY LOCATON</t>
  </si>
  <si>
    <t>Previous company 1 - NAME OF THE COMPANY 2</t>
  </si>
  <si>
    <t>Previous company 1 DURAITON in months</t>
  </si>
  <si>
    <t>Previous company 1 DESIGNATION</t>
  </si>
  <si>
    <t>Previous company 1 LOCATON</t>
  </si>
  <si>
    <t>Previous company 2 - NAME OF THE COMPANY 2</t>
  </si>
  <si>
    <t>Previous company 2 DURAITON in months</t>
  </si>
  <si>
    <t>Previous company 2 DESIGNATION</t>
  </si>
  <si>
    <t>Previous company 2 LOCATON</t>
  </si>
  <si>
    <t>Previous company 3 - NAME OF THE COMPANY 2</t>
  </si>
  <si>
    <t>Previous company 3 DURAITON in months</t>
  </si>
  <si>
    <t>Previous company 3 DESIGNATION</t>
  </si>
  <si>
    <t>Previous company 3 LOCATON</t>
  </si>
  <si>
    <t>Highest education - COURSE name</t>
  </si>
  <si>
    <t>Highest education - University / School</t>
  </si>
  <si>
    <t>Previous education 1-  COURSE name</t>
  </si>
  <si>
    <t>Previous education 1 -  University / School</t>
  </si>
  <si>
    <t>Previous education 2 -  COURSE name</t>
  </si>
  <si>
    <t>Previous education 2 - University / School</t>
  </si>
  <si>
    <t>Previous education 3 - COURSE name</t>
  </si>
  <si>
    <t>Previous education 3 - University / School</t>
  </si>
  <si>
    <t>Previous education 1-  YEAR OF PASSING
mm/yy</t>
  </si>
  <si>
    <t>Previous education 1-  DURATION</t>
  </si>
  <si>
    <t>Previous education 1-  CLASS / GRADE</t>
  </si>
  <si>
    <t>Previous education 2 - YEAR OF PASSING
mm/yy</t>
  </si>
  <si>
    <t>Previous education 2 - CLASS / GRADE</t>
  </si>
  <si>
    <t>Previous education 3 - YEAR OF PASSING
mm/yy</t>
  </si>
  <si>
    <t>Previous education 3 - DURATION</t>
  </si>
  <si>
    <t>Previous education 2 - DURATION</t>
  </si>
  <si>
    <t>Previous education 3 - CLASS / GRADE</t>
  </si>
  <si>
    <t>Highest education - YEAR OF PASSING
mm/yy</t>
  </si>
  <si>
    <t>Highest education - DURATION</t>
  </si>
  <si>
    <t>Highest education - CLASS / GRADE</t>
  </si>
  <si>
    <t>RELATION SHIP WITH 
THE EMPLOYEE 1</t>
  </si>
  <si>
    <t>RELATION SHIP WITH 
THE EMPLOYEE 2</t>
  </si>
  <si>
    <t>RELATION SHIP WITH 
THE EMPLOYEE 3</t>
  </si>
  <si>
    <t>RELATION SHIP WITH 
THE EMPLOYEE 4</t>
  </si>
  <si>
    <t>1234443545454</t>
  </si>
  <si>
    <t>123456789123</t>
  </si>
  <si>
    <t>Shavi Smith</t>
  </si>
  <si>
    <t>Sarita Smith</t>
  </si>
  <si>
    <t>Sudir Smith</t>
  </si>
  <si>
    <t>Shanta Smith</t>
  </si>
  <si>
    <t>Ajay Smith</t>
  </si>
  <si>
    <t>Bharat Smith</t>
  </si>
  <si>
    <t>#13, ABC Main road, ElectSmithic City phase 2</t>
  </si>
  <si>
    <t>#37, HOD SMD taluk, Uttara kannada</t>
  </si>
  <si>
    <t>Jon Smith</t>
  </si>
  <si>
    <t>Sampe inputs</t>
  </si>
  <si>
    <t>Male</t>
  </si>
  <si>
    <t>Female</t>
  </si>
  <si>
    <t>Others</t>
  </si>
  <si>
    <t>Single</t>
  </si>
  <si>
    <t>Married</t>
  </si>
  <si>
    <t>CHILD 2 DOB (mm/dd/yy)</t>
  </si>
  <si>
    <t>Personal Details</t>
  </si>
  <si>
    <t>References</t>
  </si>
  <si>
    <t>Bank account details</t>
  </si>
  <si>
    <t>Old UAN / ESIC Details</t>
  </si>
  <si>
    <t>Documents submitted</t>
  </si>
  <si>
    <t>Sample Entry</t>
  </si>
  <si>
    <t>Current contract details</t>
  </si>
  <si>
    <t>Previous PF no</t>
  </si>
  <si>
    <t>22/05/1997</t>
  </si>
  <si>
    <t>RTModeFlag</t>
  </si>
  <si>
    <t>DeleteFlag</t>
  </si>
  <si>
    <t>ATS ID</t>
  </si>
  <si>
    <t>Status</t>
  </si>
  <si>
    <t>Error Remarks</t>
  </si>
  <si>
    <t>Previous Employee Code</t>
  </si>
  <si>
    <t>Title</t>
  </si>
  <si>
    <t>First Name</t>
  </si>
  <si>
    <t>Middle Name</t>
  </si>
  <si>
    <t>Initial/Last Name</t>
  </si>
  <si>
    <t>Gender</t>
  </si>
  <si>
    <t>Date Of Birth</t>
  </si>
  <si>
    <t>Aadhar Number</t>
  </si>
  <si>
    <t>PAN Number</t>
  </si>
  <si>
    <t>Previous ESI Number</t>
  </si>
  <si>
    <t>Labour Card Number</t>
  </si>
  <si>
    <t>Passport Number</t>
  </si>
  <si>
    <t>Issuing Authority</t>
  </si>
  <si>
    <t>UAN</t>
  </si>
  <si>
    <t>Payment Method</t>
  </si>
  <si>
    <t>Bank Code</t>
  </si>
  <si>
    <t>Branch</t>
  </si>
  <si>
    <t>Bank Account Number</t>
  </si>
  <si>
    <t>Cheque Printing Location</t>
  </si>
  <si>
    <t>Emergency Contact Name</t>
  </si>
  <si>
    <t>Emergency Contact Phone Number</t>
  </si>
  <si>
    <t>Expected Date of Joining</t>
  </si>
  <si>
    <t>Total Years of Experience</t>
  </si>
  <si>
    <t>Permanent - House No. / Name</t>
  </si>
  <si>
    <t>Permanent - Street Name</t>
  </si>
  <si>
    <t>Permanent - Location &amp; Land Mark</t>
  </si>
  <si>
    <t>Zipcode</t>
  </si>
  <si>
    <t>City</t>
  </si>
  <si>
    <t>District</t>
  </si>
  <si>
    <t>Country</t>
  </si>
  <si>
    <t>Temporary - House / Apartment - #No &amp; Name</t>
  </si>
  <si>
    <t>Temporary - Lane / Street #No &amp; Name</t>
  </si>
  <si>
    <t>Temporary - Location &amp; Land Mark</t>
  </si>
  <si>
    <t>Zipcode </t>
  </si>
  <si>
    <t>City </t>
  </si>
  <si>
    <t>District </t>
  </si>
  <si>
    <t>State </t>
  </si>
  <si>
    <t>Country </t>
  </si>
  <si>
    <t>Phone Number 1</t>
  </si>
  <si>
    <t>Phone Number 2</t>
  </si>
  <si>
    <t>Mail ID</t>
  </si>
  <si>
    <t>Course</t>
  </si>
  <si>
    <t>University/School</t>
  </si>
  <si>
    <t>Class/Grade</t>
  </si>
  <si>
    <t>Highest Qualification</t>
  </si>
  <si>
    <t>SBU</t>
  </si>
  <si>
    <t>Division</t>
  </si>
  <si>
    <t>Sub Department</t>
  </si>
  <si>
    <t>Client Cost Center</t>
  </si>
  <si>
    <t>Principal Cost Center</t>
  </si>
  <si>
    <t>Channel</t>
  </si>
  <si>
    <t>Position</t>
  </si>
  <si>
    <t>Job</t>
  </si>
  <si>
    <t>Grade Set</t>
  </si>
  <si>
    <t>Grade</t>
  </si>
  <si>
    <t>Employment Type</t>
  </si>
  <si>
    <t>Store/Branch/Office ID</t>
  </si>
  <si>
    <t>Store/Branch/Office Name</t>
  </si>
  <si>
    <t>Work location</t>
  </si>
  <si>
    <t>Zone</t>
  </si>
  <si>
    <t>Project/Team</t>
  </si>
  <si>
    <t>Father Name</t>
  </si>
  <si>
    <t>Father DOB</t>
  </si>
  <si>
    <t>Father Demise</t>
  </si>
  <si>
    <t>Mother Name</t>
  </si>
  <si>
    <t>Mother DOB</t>
  </si>
  <si>
    <t>Mother Demise</t>
  </si>
  <si>
    <t>Wedding Date</t>
  </si>
  <si>
    <t>Spouse Name</t>
  </si>
  <si>
    <t>Spouse Gender</t>
  </si>
  <si>
    <t>Spouse DOB</t>
  </si>
  <si>
    <t>Child 1 Name</t>
  </si>
  <si>
    <t>Child 1 Gender</t>
  </si>
  <si>
    <t>Child1 DOB</t>
  </si>
  <si>
    <t>Child 2 Name</t>
  </si>
  <si>
    <t>Child 2 Gender</t>
  </si>
  <si>
    <t>Child 2 DOB</t>
  </si>
  <si>
    <t>Nominee</t>
  </si>
  <si>
    <t>Total Remarks</t>
  </si>
  <si>
    <t>100</t>
  </si>
  <si>
    <t>101</t>
  </si>
  <si>
    <t>102</t>
  </si>
  <si>
    <t>103</t>
  </si>
  <si>
    <t>104</t>
  </si>
  <si>
    <t>105</t>
  </si>
  <si>
    <t>106</t>
  </si>
  <si>
    <t>107</t>
  </si>
  <si>
    <t>108</t>
  </si>
  <si>
    <t>109</t>
  </si>
  <si>
    <t>110</t>
  </si>
  <si>
    <t>111</t>
  </si>
  <si>
    <t>112</t>
  </si>
  <si>
    <t>113</t>
  </si>
  <si>
    <t>114</t>
  </si>
  <si>
    <t>115</t>
  </si>
  <si>
    <t>118</t>
  </si>
  <si>
    <t>119</t>
  </si>
  <si>
    <t>120</t>
  </si>
  <si>
    <t>89</t>
  </si>
  <si>
    <t>90</t>
  </si>
  <si>
    <t>91</t>
  </si>
  <si>
    <t>92</t>
  </si>
  <si>
    <t>93</t>
  </si>
  <si>
    <t>94</t>
  </si>
  <si>
    <t>95</t>
  </si>
  <si>
    <t>96</t>
  </si>
  <si>
    <t>97</t>
  </si>
  <si>
    <t>98</t>
  </si>
  <si>
    <t>99</t>
  </si>
  <si>
    <t>lstlistedit_state_con1</t>
  </si>
  <si>
    <t>lstlistedit_state_con2</t>
  </si>
  <si>
    <t>lstlistedit_state_con_per1</t>
  </si>
  <si>
    <t>lstlistedit_state_con_per2</t>
  </si>
  <si>
    <t>OB</t>
  </si>
  <si>
    <t>NR</t>
  </si>
  <si>
    <t>As per AADHAR</t>
  </si>
  <si>
    <t>Mr</t>
  </si>
  <si>
    <t>DO NOT ENTER</t>
  </si>
  <si>
    <t>India</t>
  </si>
  <si>
    <t>Contract Full-time</t>
  </si>
  <si>
    <t>Stores ID</t>
  </si>
  <si>
    <t>CHILD 2 Gender</t>
  </si>
  <si>
    <t>Daughter</t>
  </si>
  <si>
    <t>Sonny</t>
  </si>
  <si>
    <t>Child1</t>
  </si>
  <si>
    <t>Father &amp; Mother</t>
  </si>
  <si>
    <t>Child1 &amp; Child2</t>
  </si>
  <si>
    <t>Choose from the dop down</t>
  </si>
  <si>
    <t>Last name</t>
  </si>
  <si>
    <r>
      <t xml:space="preserve">DOB </t>
    </r>
    <r>
      <rPr>
        <sz val="10"/>
        <color rgb="FFFF0000"/>
        <rFont val="Calibri"/>
        <family val="2"/>
        <scheme val="minor"/>
      </rPr>
      <t>(dd/mm/yy)</t>
    </r>
  </si>
  <si>
    <r>
      <t xml:space="preserve">Marriage Date </t>
    </r>
    <r>
      <rPr>
        <sz val="10"/>
        <color rgb="FFFF0000"/>
        <rFont val="Calibri"/>
        <family val="2"/>
        <scheme val="minor"/>
      </rPr>
      <t>(dd/mm/yy)</t>
    </r>
  </si>
  <si>
    <r>
      <t xml:space="preserve">Highest education - YEAR OF PASSING
</t>
    </r>
    <r>
      <rPr>
        <sz val="10"/>
        <color rgb="FFFF0000"/>
        <rFont val="Calibri"/>
        <family val="2"/>
        <scheme val="minor"/>
      </rPr>
      <t>yyyy</t>
    </r>
  </si>
  <si>
    <r>
      <t>MOTHER DOB</t>
    </r>
    <r>
      <rPr>
        <sz val="10"/>
        <color rgb="FFFF0000"/>
        <rFont val="Calibri"/>
        <family val="2"/>
        <scheme val="minor"/>
      </rPr>
      <t xml:space="preserve"> (dd/mm/yy)</t>
    </r>
  </si>
  <si>
    <r>
      <t xml:space="preserve">SPOUSE DOB </t>
    </r>
    <r>
      <rPr>
        <sz val="10"/>
        <color rgb="FFFF0000"/>
        <rFont val="Calibri"/>
        <family val="2"/>
        <scheme val="minor"/>
      </rPr>
      <t xml:space="preserve"> (dd/mm/yy)</t>
    </r>
  </si>
  <si>
    <t>Child gender</t>
  </si>
  <si>
    <r>
      <t>CHILD 1 DOB</t>
    </r>
    <r>
      <rPr>
        <sz val="10"/>
        <color rgb="FFFF0000"/>
        <rFont val="Calibri"/>
        <family val="2"/>
        <scheme val="minor"/>
      </rPr>
      <t xml:space="preserve"> (dd/mm/yy)</t>
    </r>
  </si>
  <si>
    <r>
      <t xml:space="preserve">Nominee DOB </t>
    </r>
    <r>
      <rPr>
        <sz val="10"/>
        <color rgb="FFFF0000"/>
        <rFont val="Calibri"/>
        <family val="2"/>
        <scheme val="minor"/>
      </rPr>
      <t>(dd/mm/yy)</t>
    </r>
  </si>
  <si>
    <t>Nominee  1 DOB (dd/mm/yy)</t>
  </si>
  <si>
    <t>Last working day - Last organisation (dd/mm/yy)</t>
  </si>
  <si>
    <t>Applicant id</t>
  </si>
  <si>
    <t xml:space="preserve"> </t>
  </si>
  <si>
    <t xml:space="preserve">  </t>
  </si>
  <si>
    <t>Mohan</t>
  </si>
  <si>
    <t>R</t>
  </si>
  <si>
    <t>raja</t>
  </si>
  <si>
    <t>chandra</t>
  </si>
  <si>
    <t>AB+</t>
  </si>
  <si>
    <t>2/14.4th,street annai velankanni nager,vinayagpuram</t>
  </si>
  <si>
    <t>FIRST NAME</t>
  </si>
  <si>
    <t xml:space="preserve">EMAIL ID </t>
  </si>
  <si>
    <t>F@gmail.com</t>
  </si>
  <si>
    <t>Insurance</t>
  </si>
  <si>
    <t>PF &amp; ESIC Nominee</t>
  </si>
  <si>
    <t>Insurance nominee</t>
  </si>
  <si>
    <t>Experience</t>
  </si>
  <si>
    <t>Qualification</t>
  </si>
  <si>
    <t>dunnasandra guthalahonase ramanagar karnataka 562121</t>
  </si>
  <si>
    <t>Ms</t>
  </si>
  <si>
    <t>Mrs</t>
  </si>
  <si>
    <t>Christian</t>
  </si>
  <si>
    <t>Muslim</t>
  </si>
  <si>
    <t>Jain</t>
  </si>
  <si>
    <t>NA</t>
  </si>
  <si>
    <t>Parsi</t>
  </si>
  <si>
    <t>Sikh</t>
  </si>
  <si>
    <t>A1B Negative</t>
  </si>
  <si>
    <t>A1B Positive</t>
  </si>
  <si>
    <t>A1 Negative</t>
  </si>
  <si>
    <t>A1 Positive</t>
  </si>
  <si>
    <t>A2B Negative</t>
  </si>
  <si>
    <t>A2B Positive</t>
  </si>
  <si>
    <t>A2 Negative</t>
  </si>
  <si>
    <t>A2 Positive</t>
  </si>
  <si>
    <t>AB Negative</t>
  </si>
  <si>
    <t>AB Positive</t>
  </si>
  <si>
    <t>A Negative</t>
  </si>
  <si>
    <t>A Positive</t>
  </si>
  <si>
    <t>B1 Positive</t>
  </si>
  <si>
    <t>B Negative</t>
  </si>
  <si>
    <t>B Positive</t>
  </si>
  <si>
    <t>Not Available</t>
  </si>
  <si>
    <t>O Negative</t>
  </si>
  <si>
    <t>O Positive</t>
  </si>
  <si>
    <t>Present ADDRESS Full</t>
  </si>
  <si>
    <t>ANDAMAN &amp; NICOBAR ISLANDS</t>
  </si>
  <si>
    <t>ANDHRA PRADESH</t>
  </si>
  <si>
    <t>ARUNACHAL PRADESH</t>
  </si>
  <si>
    <t>ASSAM</t>
  </si>
  <si>
    <t>BIHAR</t>
  </si>
  <si>
    <t>Central</t>
  </si>
  <si>
    <t>TRIPURA</t>
  </si>
  <si>
    <t>TUTICORIN - TN</t>
  </si>
  <si>
    <t>UTTARAKHAND</t>
  </si>
  <si>
    <t>UTTAR PRADESH</t>
  </si>
  <si>
    <t>VANIYAMBADI - TN</t>
  </si>
  <si>
    <t>WEST BENGAL</t>
  </si>
  <si>
    <t>SALEM - TN</t>
  </si>
  <si>
    <t>SRIPERUMBUDUR</t>
  </si>
  <si>
    <t>TELANGANA</t>
  </si>
  <si>
    <t>TAMIL NADU</t>
  </si>
  <si>
    <t>ORAGADAM - TN</t>
  </si>
  <si>
    <t>TRICHY - TN</t>
  </si>
  <si>
    <t>ORISSA</t>
  </si>
  <si>
    <t>PUDUCHERRY</t>
  </si>
  <si>
    <t>PALLIKONDA - TN</t>
  </si>
  <si>
    <t>PUNJAB</t>
  </si>
  <si>
    <t>RAJASTHAN</t>
  </si>
  <si>
    <t>SIKKIM</t>
  </si>
  <si>
    <t>MEGHALAYA</t>
  </si>
  <si>
    <t>MIZORAM</t>
  </si>
  <si>
    <t>MANIPUR</t>
  </si>
  <si>
    <t>MADHYA PRADESH</t>
  </si>
  <si>
    <t>NALLUR - TN</t>
  </si>
  <si>
    <t>NAGALAND</t>
  </si>
  <si>
    <t>JHARKHAND</t>
  </si>
  <si>
    <t>KARNATAKA</t>
  </si>
  <si>
    <t>KERALA</t>
  </si>
  <si>
    <t>LAKSHADWEEP</t>
  </si>
  <si>
    <t>MAHARASHTRA</t>
  </si>
  <si>
    <t>MADURAI - TN</t>
  </si>
  <si>
    <t>DADRA AND NAGAR HAVELI</t>
  </si>
  <si>
    <t>GOA</t>
  </si>
  <si>
    <t>GUJARAT</t>
  </si>
  <si>
    <t>HARYANA</t>
  </si>
  <si>
    <t>HIMACHAL PRADESH</t>
  </si>
  <si>
    <t>JAMMU AND KASHMIR</t>
  </si>
  <si>
    <t>CHANDIGARH</t>
  </si>
  <si>
    <t>CHHATTISGARH</t>
  </si>
  <si>
    <t>CHHATTISGARH-2</t>
  </si>
  <si>
    <t>COIMBATORE - TN</t>
  </si>
  <si>
    <t>DAMAN AND DIU</t>
  </si>
  <si>
    <t>DELHI</t>
  </si>
  <si>
    <t>Bachelor Of Academic Law</t>
  </si>
  <si>
    <t>Bachelor of Fashion Tech</t>
  </si>
  <si>
    <t>Bachelor of Physiotherapy</t>
  </si>
  <si>
    <t>Master of Tourism Admin</t>
  </si>
  <si>
    <t>Higher Secondary</t>
  </si>
  <si>
    <t>AOCP</t>
  </si>
  <si>
    <t>BACHELOR OF ARTS</t>
  </si>
  <si>
    <t>B.B.A</t>
  </si>
  <si>
    <t>B.B.M</t>
  </si>
  <si>
    <t>B.C.A</t>
  </si>
  <si>
    <t>BACHELOR OF COMMERCE</t>
  </si>
  <si>
    <t>B.E</t>
  </si>
  <si>
    <t>B.Ed</t>
  </si>
  <si>
    <t>Bachelor of Mgmnt Studies</t>
  </si>
  <si>
    <t>B.PHARM</t>
  </si>
  <si>
    <t>BACHELOR OF SCIENCE</t>
  </si>
  <si>
    <t>B.SC COMPUTER SCIENCE</t>
  </si>
  <si>
    <t>B.Sc IT</t>
  </si>
  <si>
    <t>Bachelor of Theology</t>
  </si>
  <si>
    <t>B.Tech</t>
  </si>
  <si>
    <t>BELOW SSLC</t>
  </si>
  <si>
    <t>BMM</t>
  </si>
  <si>
    <t>BSC</t>
  </si>
  <si>
    <t>Chartered Accountant</t>
  </si>
  <si>
    <t>D.PHARM</t>
  </si>
  <si>
    <t>DCA</t>
  </si>
  <si>
    <t>Diploma</t>
  </si>
  <si>
    <t>DME</t>
  </si>
  <si>
    <t>DMPO</t>
  </si>
  <si>
    <t>DTED</t>
  </si>
  <si>
    <t>HOTEL  MANAGEMENT</t>
  </si>
  <si>
    <t>illiterate</t>
  </si>
  <si>
    <t>ITI</t>
  </si>
  <si>
    <t>JOC</t>
  </si>
  <si>
    <t>LLB</t>
  </si>
  <si>
    <t>LLM</t>
  </si>
  <si>
    <t>M Sc IT</t>
  </si>
  <si>
    <t>MASTER OF ARTS</t>
  </si>
  <si>
    <t>M.B.A</t>
  </si>
  <si>
    <t>M.C.A</t>
  </si>
  <si>
    <t>M.C.M</t>
  </si>
  <si>
    <t>M.COM</t>
  </si>
  <si>
    <t>M.PHIL</t>
  </si>
  <si>
    <t>Masters Computer Science</t>
  </si>
  <si>
    <t>M.SC</t>
  </si>
  <si>
    <t>M.Tech</t>
  </si>
  <si>
    <t>MBA</t>
  </si>
  <si>
    <t>MBBS</t>
  </si>
  <si>
    <t>Master of Human Resource</t>
  </si>
  <si>
    <t>MSW</t>
  </si>
  <si>
    <t>PGDBE</t>
  </si>
  <si>
    <t>PGDBM</t>
  </si>
  <si>
    <t>PGDCA</t>
  </si>
  <si>
    <t>PGDM</t>
  </si>
  <si>
    <t>PLUS 2</t>
  </si>
  <si>
    <t>S.S.L.C</t>
  </si>
  <si>
    <t>Master of Journalism</t>
  </si>
  <si>
    <t>Master Designer</t>
  </si>
  <si>
    <t>Company Secretaryship</t>
  </si>
  <si>
    <t>Master of Business Studie</t>
  </si>
  <si>
    <t>BTech in Agricultural Eng</t>
  </si>
  <si>
    <t>Master OF Management stud</t>
  </si>
  <si>
    <t>Bank-Transfer</t>
  </si>
  <si>
    <t>NEFT</t>
  </si>
  <si>
    <t>Canada</t>
  </si>
  <si>
    <t>Czech Republic</t>
  </si>
  <si>
    <t>Italy</t>
  </si>
  <si>
    <t>Malaysia</t>
  </si>
  <si>
    <t>NEPAL</t>
  </si>
  <si>
    <t>Portugal</t>
  </si>
  <si>
    <t>South Africa</t>
  </si>
  <si>
    <t>United States of America</t>
  </si>
  <si>
    <t>Contract Part-time</t>
  </si>
  <si>
    <t>East</t>
  </si>
  <si>
    <t>North</t>
  </si>
  <si>
    <t>South</t>
  </si>
  <si>
    <t>West</t>
  </si>
  <si>
    <t>Emp Code</t>
  </si>
  <si>
    <t>Emergency Phone</t>
  </si>
  <si>
    <t>On Client With</t>
  </si>
  <si>
    <t>Valid Upto</t>
  </si>
  <si>
    <t>Authorised sign.</t>
  </si>
  <si>
    <r>
      <t xml:space="preserve">Registered Office : No 2 Ground Floor, Nal Wind Tunnel Road,
                                            Murgeshpalya, bangalore - 560017
                                            Tel " +91-8039897070  Fax : +91-80 41119020
</t>
    </r>
    <r>
      <rPr>
        <b/>
        <sz val="8"/>
        <color theme="1"/>
        <rFont val="Calibri"/>
        <family val="2"/>
        <scheme val="minor"/>
      </rPr>
      <t>ADECCO SUPPORT CENTRE</t>
    </r>
    <r>
      <rPr>
        <sz val="8"/>
        <color theme="1"/>
        <rFont val="Calibri"/>
        <family val="2"/>
        <scheme val="minor"/>
      </rPr>
      <t xml:space="preserve">
</t>
    </r>
    <r>
      <rPr>
        <u/>
        <sz val="8"/>
        <color theme="1"/>
        <rFont val="Calibri"/>
        <family val="2"/>
        <scheme val="minor"/>
      </rPr>
      <t xml:space="preserve">Call : 180030101166, E-mail: asc@adecco.co.in, www.adecco.co.in                      
</t>
    </r>
    <r>
      <rPr>
        <b/>
        <sz val="8"/>
        <color theme="1"/>
        <rFont val="Calibri"/>
        <family val="2"/>
        <scheme val="minor"/>
      </rPr>
      <t>Kindly Note</t>
    </r>
    <r>
      <rPr>
        <sz val="8"/>
        <color theme="1"/>
        <rFont val="Calibri"/>
        <family val="2"/>
        <scheme val="minor"/>
      </rPr>
      <t xml:space="preserve">
</t>
    </r>
    <r>
      <rPr>
        <sz val="6"/>
        <color theme="1"/>
        <rFont val="Calibri"/>
        <family val="2"/>
        <scheme val="minor"/>
      </rPr>
      <t>1. This card relates only to the person described
2. This card must be carried at all times by the holder while on duty and produced on demand by the designated authority
3. Loss or theft of card must be reported immediately to the branch office Adecco India Pvt Limited
4. This card is non transferable and must be surrendered immediately upon resignation of emplyment
5. This card is sole property of Adecco India Pvt Limited</t>
    </r>
    <r>
      <rPr>
        <sz val="8"/>
        <color theme="1"/>
        <rFont val="Calibri"/>
        <family val="2"/>
        <scheme val="minor"/>
      </rPr>
      <t xml:space="preserve">
</t>
    </r>
  </si>
  <si>
    <t>Please ensure Macros are enabled</t>
  </si>
  <si>
    <t>Paste Passport size Photograph</t>
  </si>
  <si>
    <t>Father DOB dd/mm/yy</t>
  </si>
  <si>
    <t>Don’t Delete</t>
  </si>
  <si>
    <t>Major banks</t>
  </si>
  <si>
    <t>AXIS BANK LTD</t>
  </si>
  <si>
    <t>HDFC BANK LTD</t>
  </si>
  <si>
    <t>ICICI BANK LTD</t>
  </si>
  <si>
    <t>IDBI BANK LTD</t>
  </si>
  <si>
    <t>KOTAK MAHINDRA BANK LTD</t>
  </si>
  <si>
    <t>STATE BANK OF INDIA</t>
  </si>
  <si>
    <t>8792</t>
  </si>
  <si>
    <t>0076</t>
  </si>
  <si>
    <t>2528</t>
  </si>
  <si>
    <t>2851</t>
  </si>
  <si>
    <t>5535</t>
  </si>
  <si>
    <t>0463</t>
  </si>
  <si>
    <t>Permanent - House No</t>
  </si>
  <si>
    <t>Child2</t>
  </si>
  <si>
    <t>Form</t>
  </si>
  <si>
    <t>Default</t>
  </si>
  <si>
    <t>Last COMPANY DURAITON in months</t>
  </si>
  <si>
    <t>TOTAL EXPERIENCE in Years (input only number)</t>
  </si>
  <si>
    <t>From,</t>
  </si>
  <si>
    <t xml:space="preserve">To,
The HR Manager
Staffing Solutions - Shared Services Center
Adecco India Private Limited
Sir ,
</t>
  </si>
  <si>
    <t>SUB : JOINING REPORT</t>
  </si>
  <si>
    <t>With reference to your order date</t>
  </si>
  <si>
    <t xml:space="preserve">, I am joining Adecco India </t>
  </si>
  <si>
    <t xml:space="preserve">Private Limited as </t>
  </si>
  <si>
    <t>from</t>
  </si>
  <si>
    <t xml:space="preserve">and I am aware would </t>
  </si>
  <si>
    <t>be deputed at the client work location as cited in offer letter.</t>
  </si>
  <si>
    <t>This is a digital ID card and authorised by Adecco only with a valid EMP ID</t>
  </si>
  <si>
    <t xml:space="preserve">I have been briefed on the benefits provided by  Adecco India Private limited and I certify that the 
declaration / nomination provided by myself needs to be substantiated with Aadhaar ID. Further  I 
acknowledge that it would be my responsibility to provide the details to  Adecco for availing the 
benefits extended nevertheless  Adecco  would not be responsible in any uncertain events  raising in 
the event of non-submission of dependent data/ documents.
Yours Sincerely
Signature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</si>
</sst>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_);\(###0\)"/>
    <numFmt numFmtId="166" formatCode="###0.;###0."/>
    <numFmt numFmtId="167" formatCode="&quot;Rs. &quot;#,##0\ &quot;/-&quot;"/>
    <numFmt numFmtId="168" formatCode="0;[Red]0"/>
    <numFmt numFmtId="169" formatCode="General_)"/>
    <numFmt numFmtId="170" formatCode="m/d/yyyy;;&quot;&quot;"/>
    <numFmt numFmtId="171" formatCode="dd\/mm\/yyyy"/>
    <numFmt numFmtId="172" formatCode="dd&quot;/&quot;mm&quot;/&quot;yyyy"/>
    <numFmt numFmtId="173" formatCode="dd/mm/yyyy;;&quot;&quot;"/>
  </numFmts>
  <fonts count="85">
    <font>
      <sz val="11"/>
      <color theme="1"/>
      <name val="Calibri"/>
      <family val="2"/>
      <scheme val="minor"/>
    </font>
    <font>
      <sz val="28"/>
      <color theme="1"/>
      <name val="Calibri"/>
      <family val="2"/>
      <scheme val="minor"/>
    </font>
    <font>
      <sz val="10"/>
      <color rgb="FF000000"/>
      <name val="Times New Roman"/>
      <family val="1"/>
    </font>
    <font>
      <sz val="10"/>
      <name val="Arial"/>
      <family val="2"/>
    </font>
    <font>
      <b/>
      <sz val="9"/>
      <name val="Times New Roman"/>
      <family val="1"/>
    </font>
    <font>
      <b/>
      <sz val="9"/>
      <name val="Times New Roman"/>
      <family val="1"/>
    </font>
    <font>
      <sz val="8"/>
      <name val="Times New Roman"/>
      <family val="1"/>
    </font>
    <font>
      <sz val="8"/>
      <name val="Times New Roman"/>
      <family val="1"/>
    </font>
    <font>
      <u/>
      <sz val="8"/>
      <name val="Times New Roman"/>
      <family val="1"/>
    </font>
    <font>
      <b/>
      <sz val="8"/>
      <name val="Times New Roman"/>
      <family val="1"/>
    </font>
    <font>
      <b/>
      <sz val="8"/>
      <name val="Times New Roman"/>
      <family val="1"/>
    </font>
    <font>
      <sz val="8"/>
      <color rgb="FF000000"/>
      <name val="Times New Roman"/>
      <family val="2"/>
    </font>
    <font>
      <sz val="10"/>
      <color rgb="FF000000"/>
      <name val="Times New Roman"/>
      <family val="1"/>
    </font>
    <font>
      <b/>
      <sz val="10"/>
      <name val="Arial"/>
      <family val="2"/>
    </font>
    <font>
      <sz val="10"/>
      <name val="Arial"/>
      <family val="2"/>
    </font>
    <font>
      <i/>
      <sz val="10"/>
      <name val="Arial"/>
      <family val="2"/>
    </font>
    <font>
      <sz val="7"/>
      <name val="Times New Roman"/>
      <family val="1"/>
    </font>
    <font>
      <b/>
      <sz val="8"/>
      <name val="Tahoma"/>
      <family val="2"/>
    </font>
    <font>
      <sz val="10"/>
      <name val="Tahoma"/>
      <family val="2"/>
    </font>
    <font>
      <sz val="8"/>
      <name val="Tahoma"/>
      <family val="2"/>
    </font>
    <font>
      <sz val="11"/>
      <name val="Calibri"/>
      <family val="2"/>
    </font>
    <font>
      <b/>
      <u/>
      <sz val="26"/>
      <name val="Times New Roman"/>
      <family val="1"/>
    </font>
    <font>
      <b/>
      <sz val="20"/>
      <name val="Times New Roman"/>
      <family val="1"/>
    </font>
    <font>
      <sz val="20"/>
      <color rgb="FF000000"/>
      <name val="Times New Roman"/>
      <family val="1"/>
    </font>
    <font>
      <sz val="26"/>
      <name val="Times New Roman"/>
      <family val="1"/>
    </font>
    <font>
      <sz val="26"/>
      <color rgb="FF000000"/>
      <name val="Times New Roman"/>
      <family val="1"/>
    </font>
    <font>
      <u/>
      <sz val="26"/>
      <name val="Times New Roman"/>
      <family val="1"/>
    </font>
    <font>
      <sz val="9"/>
      <name val="Verdana"/>
      <family val="2"/>
    </font>
    <font>
      <b/>
      <sz val="26"/>
      <name val="Times New Roman"/>
      <family val="1"/>
    </font>
    <font>
      <u/>
      <sz val="26"/>
      <color rgb="FF0000FF"/>
      <name val="Times New Roman"/>
      <family val="1"/>
    </font>
    <font>
      <sz val="22"/>
      <color theme="1"/>
      <name val="Calibri"/>
      <family val="2"/>
      <scheme val="minor"/>
    </font>
    <font>
      <b/>
      <sz val="24"/>
      <color theme="1"/>
      <name val="Calibri"/>
      <family val="2"/>
      <scheme val="minor"/>
    </font>
    <font>
      <b/>
      <sz val="10"/>
      <color rgb="FF000000"/>
      <name val="Times New Roman"/>
      <family val="1"/>
    </font>
    <font>
      <sz val="16"/>
      <color theme="1"/>
      <name val="Calibri"/>
      <family val="2"/>
      <scheme val="minor"/>
    </font>
    <font>
      <sz val="18"/>
      <color theme="1"/>
      <name val="Calibri"/>
      <family val="2"/>
      <scheme val="minor"/>
    </font>
    <font>
      <b/>
      <sz val="10"/>
      <color indexed="8"/>
      <name val="Calibri"/>
      <family val="2"/>
      <scheme val="minor"/>
    </font>
    <font>
      <b/>
      <sz val="10"/>
      <name val="Calibri"/>
      <family val="2"/>
      <scheme val="minor"/>
    </font>
    <font>
      <sz val="10"/>
      <color indexed="8"/>
      <name val="Arial"/>
      <family val="2"/>
    </font>
    <font>
      <sz val="11"/>
      <color theme="1"/>
      <name val="Calibri"/>
      <family val="2"/>
      <scheme val="minor"/>
    </font>
    <font>
      <u/>
      <sz val="11"/>
      <color theme="10"/>
      <name val="Calibri"/>
      <family val="2"/>
    </font>
    <font>
      <sz val="11"/>
      <color theme="0" tint="-0.34998626667073579"/>
      <name val="Calibri"/>
      <family val="2"/>
      <scheme val="minor"/>
    </font>
    <font>
      <sz val="22"/>
      <color theme="0" tint="-0.34998626667073579"/>
      <name val="Calibri"/>
      <family val="2"/>
      <scheme val="minor"/>
    </font>
    <font>
      <sz val="10"/>
      <color theme="0" tint="-0.34998626667073579"/>
      <name val="Arial"/>
      <family val="2"/>
    </font>
    <font>
      <sz val="11"/>
      <color indexed="8"/>
      <name val="Calibri"/>
      <family val="2"/>
    </font>
    <font>
      <sz val="11"/>
      <name val="Zurich BT"/>
    </font>
    <font>
      <sz val="8"/>
      <color indexed="8"/>
      <name val="Calibri"/>
      <family val="2"/>
    </font>
    <font>
      <sz val="26"/>
      <color theme="1"/>
      <name val="Calibri"/>
      <family val="2"/>
      <scheme val="minor"/>
    </font>
    <font>
      <b/>
      <sz val="16"/>
      <color theme="1"/>
      <name val="Calibri"/>
      <family val="2"/>
      <scheme val="minor"/>
    </font>
    <font>
      <b/>
      <u/>
      <sz val="8"/>
      <name val="Times New Roman"/>
      <family val="1"/>
    </font>
    <font>
      <sz val="8"/>
      <name val="Symbol"/>
      <family val="1"/>
    </font>
    <font>
      <sz val="8"/>
      <name val="Courier New"/>
      <family val="3"/>
    </font>
    <font>
      <sz val="8"/>
      <color rgb="FF000000"/>
      <name val="Times New Roman"/>
      <family val="1"/>
    </font>
    <font>
      <b/>
      <sz val="9"/>
      <color theme="1"/>
      <name val="Calibri"/>
      <family val="2"/>
      <scheme val="minor"/>
    </font>
    <font>
      <b/>
      <sz val="9"/>
      <color theme="1"/>
      <name val="Times New Roman"/>
      <family val="1"/>
    </font>
    <font>
      <sz val="9"/>
      <color rgb="FF000000"/>
      <name val="Times New Roman"/>
      <family val="1"/>
    </font>
    <font>
      <sz val="9"/>
      <color theme="1"/>
      <name val="Calibri"/>
      <family val="2"/>
      <scheme val="minor"/>
    </font>
    <font>
      <b/>
      <sz val="9"/>
      <color theme="0"/>
      <name val="Calibri"/>
      <family val="2"/>
      <scheme val="minor"/>
    </font>
    <font>
      <b/>
      <sz val="9"/>
      <name val="Calibri"/>
      <family val="2"/>
      <scheme val="minor"/>
    </font>
    <font>
      <b/>
      <sz val="10"/>
      <color theme="1"/>
      <name val="Calibri"/>
      <family val="2"/>
      <scheme val="minor"/>
    </font>
    <font>
      <sz val="8"/>
      <color theme="1"/>
      <name val="Calibri"/>
      <family val="2"/>
      <scheme val="minor"/>
    </font>
    <font>
      <sz val="10"/>
      <color theme="1"/>
      <name val="Calibri"/>
      <family val="2"/>
      <scheme val="minor"/>
    </font>
    <font>
      <b/>
      <sz val="10"/>
      <color theme="0"/>
      <name val="Calibri"/>
      <family val="2"/>
      <scheme val="minor"/>
    </font>
    <font>
      <sz val="10"/>
      <name val="Calibri"/>
      <family val="2"/>
      <scheme val="minor"/>
    </font>
    <font>
      <sz val="10"/>
      <color theme="0"/>
      <name val="Calibri"/>
      <family val="2"/>
      <scheme val="minor"/>
    </font>
    <font>
      <b/>
      <sz val="11"/>
      <name val="Calibri"/>
      <family val="2"/>
    </font>
    <font>
      <sz val="8"/>
      <name val="Calibri"/>
      <family val="2"/>
      <scheme val="minor"/>
    </font>
    <font>
      <sz val="10"/>
      <color rgb="FFFF0000"/>
      <name val="Calibri"/>
      <family val="2"/>
      <scheme val="minor"/>
    </font>
    <font>
      <b/>
      <sz val="8"/>
      <color indexed="81"/>
      <name val="Tahoma"/>
      <family val="2"/>
    </font>
    <font>
      <sz val="8"/>
      <color indexed="81"/>
      <name val="Tahoma"/>
      <family val="2"/>
    </font>
    <font>
      <sz val="20"/>
      <color theme="1"/>
      <name val="Calibri"/>
      <family val="2"/>
      <scheme val="minor"/>
    </font>
    <font>
      <sz val="48"/>
      <color theme="1"/>
      <name val="Calibri"/>
      <family val="2"/>
      <scheme val="minor"/>
    </font>
    <font>
      <shadow/>
      <sz val="18"/>
      <color rgb="FFFF0000"/>
      <name val="Cambria"/>
      <family val="1"/>
    </font>
    <font>
      <sz val="10"/>
      <color theme="0" tint="-0.499984740745262"/>
      <name val="Times New Roman"/>
      <family val="1"/>
    </font>
    <font>
      <b/>
      <sz val="11"/>
      <color theme="1"/>
      <name val="Calibri"/>
      <family val="2"/>
      <scheme val="minor"/>
    </font>
    <font>
      <b/>
      <sz val="8"/>
      <color theme="1"/>
      <name val="Calibri"/>
      <family val="2"/>
      <scheme val="minor"/>
    </font>
    <font>
      <u/>
      <sz val="8"/>
      <color theme="1"/>
      <name val="Calibri"/>
      <family val="2"/>
      <scheme val="minor"/>
    </font>
    <font>
      <sz val="6"/>
      <color theme="1"/>
      <name val="Calibri"/>
      <family val="2"/>
      <scheme val="minor"/>
    </font>
    <font>
      <b/>
      <sz val="48"/>
      <color theme="1"/>
      <name val="Calibri"/>
      <family val="2"/>
      <scheme val="minor"/>
    </font>
    <font>
      <b/>
      <sz val="44"/>
      <color rgb="FF000000"/>
      <name val="Times New Roman"/>
      <family val="1"/>
    </font>
    <font>
      <sz val="44"/>
      <color rgb="FF000000"/>
      <name val="Times New Roman"/>
      <family val="1"/>
    </font>
    <font>
      <sz val="8"/>
      <color theme="0"/>
      <name val="Calibri"/>
      <family val="2"/>
      <scheme val="minor"/>
    </font>
    <font>
      <sz val="11"/>
      <color theme="0"/>
      <name val="Calibri"/>
      <family val="2"/>
      <scheme val="minor"/>
    </font>
    <font>
      <sz val="9"/>
      <color theme="0"/>
      <name val="Calibri"/>
      <family val="2"/>
      <scheme val="minor"/>
    </font>
    <font>
      <sz val="8"/>
      <color rgb="FF000000"/>
      <name val="Segoe UI"/>
      <family val="2"/>
    </font>
    <font>
      <sz val="11"/>
      <color rgb="FF00000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bgColor indexed="64"/>
      </patternFill>
    </fill>
    <fill>
      <patternFill patternType="solid">
        <fgColor theme="6"/>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theme="0" tint="-4.9989318521683403E-2"/>
        <bgColor indexed="64"/>
      </patternFill>
    </fill>
    <fill>
      <patternFill patternType="solid">
        <fgColor theme="4"/>
        <bgColor theme="4"/>
      </patternFill>
    </fill>
    <fill>
      <patternFill patternType="solid">
        <fgColor theme="1"/>
        <bgColor indexed="64"/>
      </patternFill>
    </fill>
    <fill>
      <patternFill patternType="solid">
        <fgColor theme="2" tint="-9.9978637043366805E-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right/>
      <top style="thin">
        <color indexed="64"/>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style="thin">
        <color indexed="64"/>
      </left>
      <right style="thin">
        <color indexed="64"/>
      </right>
      <top/>
      <bottom/>
      <diagonal/>
    </border>
    <border>
      <left style="thin">
        <color indexed="64"/>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thin">
        <color rgb="FF000000"/>
      </top>
      <bottom/>
      <diagonal/>
    </border>
    <border>
      <left style="thin">
        <color indexed="64"/>
      </left>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s>
  <cellStyleXfs count="439">
    <xf numFmtId="0" fontId="0" fillId="0" borderId="0"/>
    <xf numFmtId="0" fontId="2" fillId="0" borderId="0"/>
    <xf numFmtId="0" fontId="3" fillId="0" borderId="0"/>
    <xf numFmtId="0" fontId="14" fillId="0" borderId="0"/>
    <xf numFmtId="0" fontId="14" fillId="0" borderId="0" applyNumberFormat="0" applyFill="0" applyBorder="0" applyAlignment="0" applyProtection="0"/>
    <xf numFmtId="0" fontId="37" fillId="0" borderId="0">
      <alignment vertical="top"/>
    </xf>
    <xf numFmtId="0" fontId="14" fillId="0" borderId="0" applyNumberFormat="0" applyFill="0" applyBorder="0" applyAlignment="0" applyProtection="0"/>
    <xf numFmtId="0" fontId="39" fillId="0" borderId="0" applyNumberFormat="0" applyFill="0" applyBorder="0" applyAlignment="0" applyProtection="0">
      <alignment vertical="top"/>
      <protection locked="0"/>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0" fontId="14" fillId="0" borderId="0"/>
    <xf numFmtId="169" fontId="14" fillId="0" borderId="0"/>
    <xf numFmtId="0" fontId="14" fillId="0" borderId="0"/>
    <xf numFmtId="0" fontId="14" fillId="0" borderId="0"/>
    <xf numFmtId="0" fontId="14" fillId="0" borderId="0"/>
    <xf numFmtId="0" fontId="14" fillId="0" borderId="0"/>
    <xf numFmtId="169" fontId="14" fillId="0" borderId="0"/>
    <xf numFmtId="169" fontId="14" fillId="0" borderId="0"/>
    <xf numFmtId="169" fontId="14" fillId="0" borderId="0"/>
    <xf numFmtId="169" fontId="14" fillId="0" borderId="0"/>
    <xf numFmtId="0" fontId="14" fillId="0" borderId="0"/>
    <xf numFmtId="0" fontId="14" fillId="0" borderId="0" applyNumberFormat="0" applyFill="0" applyBorder="0" applyAlignment="0" applyProtection="0"/>
    <xf numFmtId="0" fontId="14" fillId="0" borderId="0"/>
    <xf numFmtId="0" fontId="14" fillId="0" borderId="0"/>
    <xf numFmtId="169" fontId="14" fillId="0" borderId="0"/>
    <xf numFmtId="0" fontId="14" fillId="0" borderId="0"/>
    <xf numFmtId="169" fontId="14"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xf numFmtId="0" fontId="14" fillId="0" borderId="0"/>
    <xf numFmtId="0" fontId="14" fillId="0" borderId="0"/>
    <xf numFmtId="169"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69"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69"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43" fontId="43" fillId="0" borderId="0" applyFont="0" applyFill="0" applyBorder="0" applyAlignment="0" applyProtection="0"/>
    <xf numFmtId="0" fontId="44" fillId="0" borderId="0"/>
    <xf numFmtId="0" fontId="45" fillId="0" borderId="0"/>
    <xf numFmtId="0" fontId="4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8" fillId="0" borderId="0"/>
    <xf numFmtId="0" fontId="14" fillId="0" borderId="0"/>
    <xf numFmtId="0" fontId="38" fillId="0" borderId="0"/>
    <xf numFmtId="0" fontId="14" fillId="0" borderId="0" applyFill="0" applyBorder="0"/>
    <xf numFmtId="0" fontId="14" fillId="0" borderId="0"/>
    <xf numFmtId="0" fontId="20"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43" fillId="0" borderId="0"/>
    <xf numFmtId="0" fontId="3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2" fillId="0" borderId="0"/>
    <xf numFmtId="9" fontId="38" fillId="0" borderId="0" applyFont="0" applyFill="0" applyBorder="0" applyAlignment="0" applyProtection="0"/>
  </cellStyleXfs>
  <cellXfs count="677">
    <xf numFmtId="0" fontId="0" fillId="0" borderId="0" xfId="0"/>
    <xf numFmtId="0" fontId="1" fillId="0" borderId="7" xfId="0" applyFont="1" applyBorder="1"/>
    <xf numFmtId="0" fontId="1" fillId="0" borderId="0" xfId="0" applyFont="1"/>
    <xf numFmtId="0" fontId="1" fillId="0" borderId="1" xfId="0" applyFont="1" applyBorder="1"/>
    <xf numFmtId="0" fontId="1" fillId="0" borderId="0" xfId="0" applyFont="1" applyAlignment="1">
      <alignment horizontal="center"/>
    </xf>
    <xf numFmtId="0" fontId="1" fillId="0" borderId="12" xfId="0" applyFont="1" applyBorder="1" applyAlignment="1">
      <alignment wrapText="1"/>
    </xf>
    <xf numFmtId="0" fontId="1" fillId="0" borderId="1" xfId="0" applyFont="1" applyBorder="1" applyAlignment="1">
      <alignment wrapText="1"/>
    </xf>
    <xf numFmtId="0" fontId="1" fillId="0" borderId="0" xfId="0" applyFont="1" applyAlignment="1">
      <alignment wrapText="1"/>
    </xf>
    <xf numFmtId="0" fontId="1" fillId="0" borderId="13" xfId="0" applyFont="1" applyBorder="1"/>
    <xf numFmtId="0" fontId="3" fillId="0" borderId="0" xfId="1" applyFont="1" applyAlignment="1">
      <alignment horizontal="left" vertical="top"/>
    </xf>
    <xf numFmtId="0" fontId="2" fillId="0" borderId="0" xfId="1" applyAlignment="1">
      <alignment horizontal="left" vertical="top"/>
    </xf>
    <xf numFmtId="0" fontId="7" fillId="0" borderId="1" xfId="1" applyFont="1" applyBorder="1" applyAlignment="1">
      <alignment horizontal="left" vertical="top"/>
    </xf>
    <xf numFmtId="0" fontId="2" fillId="0" borderId="1" xfId="1" applyBorder="1" applyAlignment="1">
      <alignment horizontal="left" vertical="top"/>
    </xf>
    <xf numFmtId="0" fontId="6" fillId="0" borderId="17" xfId="1" applyFont="1" applyBorder="1" applyAlignment="1">
      <alignment horizontal="left" vertical="top" wrapText="1"/>
    </xf>
    <xf numFmtId="0" fontId="2" fillId="0" borderId="17" xfId="1" applyBorder="1" applyAlignment="1">
      <alignment horizontal="center" vertical="top" wrapText="1"/>
    </xf>
    <xf numFmtId="164" fontId="11" fillId="0" borderId="17" xfId="1" applyNumberFormat="1" applyFont="1" applyBorder="1" applyAlignment="1">
      <alignment horizontal="center" vertical="top" wrapText="1"/>
    </xf>
    <xf numFmtId="0" fontId="2" fillId="0" borderId="17" xfId="1" applyBorder="1" applyAlignment="1">
      <alignment horizontal="left" vertical="top" wrapText="1"/>
    </xf>
    <xf numFmtId="0" fontId="7" fillId="0" borderId="0" xfId="1" applyFont="1" applyAlignment="1">
      <alignment horizontal="left" vertical="top"/>
    </xf>
    <xf numFmtId="0" fontId="6" fillId="0" borderId="0" xfId="1" applyFont="1" applyAlignment="1">
      <alignment horizontal="right" vertical="top"/>
    </xf>
    <xf numFmtId="0" fontId="6" fillId="0" borderId="21" xfId="1" applyFont="1" applyBorder="1" applyAlignment="1">
      <alignment horizontal="left" vertical="top" wrapText="1"/>
    </xf>
    <xf numFmtId="165" fontId="11" fillId="0" borderId="17" xfId="1" applyNumberFormat="1" applyFont="1" applyBorder="1" applyAlignment="1">
      <alignment horizontal="center" vertical="top" wrapText="1"/>
    </xf>
    <xf numFmtId="0" fontId="2" fillId="0" borderId="24" xfId="1" applyBorder="1" applyAlignment="1">
      <alignment horizontal="left" vertical="top" wrapText="1"/>
    </xf>
    <xf numFmtId="0" fontId="7" fillId="0" borderId="0" xfId="1" applyFont="1" applyAlignment="1">
      <alignment horizontal="left"/>
    </xf>
    <xf numFmtId="0" fontId="6" fillId="0" borderId="0" xfId="1" applyFont="1" applyAlignment="1">
      <alignment horizontal="left" vertical="top"/>
    </xf>
    <xf numFmtId="0" fontId="3" fillId="0" borderId="0" xfId="2"/>
    <xf numFmtId="0" fontId="13" fillId="0" borderId="0" xfId="2" applyFont="1" applyAlignment="1">
      <alignment horizontal="left"/>
    </xf>
    <xf numFmtId="0" fontId="14" fillId="0" borderId="0" xfId="2" applyFont="1" applyAlignment="1">
      <alignment horizontal="left"/>
    </xf>
    <xf numFmtId="0" fontId="14" fillId="0" borderId="1" xfId="2" applyFont="1" applyBorder="1" applyAlignment="1">
      <alignment horizontal="left" vertical="top" wrapText="1"/>
    </xf>
    <xf numFmtId="0" fontId="14" fillId="0" borderId="1" xfId="2" applyFont="1" applyBorder="1" applyAlignment="1">
      <alignment horizontal="center" vertical="top" wrapText="1"/>
    </xf>
    <xf numFmtId="0" fontId="14" fillId="0" borderId="1" xfId="2" applyFont="1" applyBorder="1" applyAlignment="1">
      <alignment horizontal="justify" vertical="top" wrapText="1"/>
    </xf>
    <xf numFmtId="0" fontId="14" fillId="0" borderId="0" xfId="2" applyFont="1" applyAlignment="1">
      <alignment horizontal="justify"/>
    </xf>
    <xf numFmtId="0" fontId="15" fillId="0" borderId="0" xfId="2" applyFont="1" applyAlignment="1">
      <alignment horizontal="left"/>
    </xf>
    <xf numFmtId="0" fontId="14" fillId="0" borderId="0" xfId="2" applyFont="1" applyAlignment="1">
      <alignment horizontal="center"/>
    </xf>
    <xf numFmtId="0" fontId="14" fillId="0" borderId="13" xfId="2" applyFont="1" applyBorder="1" applyAlignment="1">
      <alignment horizontal="left"/>
    </xf>
    <xf numFmtId="0" fontId="3" fillId="0" borderId="13" xfId="2" applyBorder="1"/>
    <xf numFmtId="0" fontId="3" fillId="0" borderId="0" xfId="2" applyAlignment="1">
      <alignment horizontal="left"/>
    </xf>
    <xf numFmtId="0" fontId="2" fillId="0" borderId="1" xfId="1" applyBorder="1" applyAlignment="1">
      <alignment vertical="top" wrapText="1"/>
    </xf>
    <xf numFmtId="0" fontId="21" fillId="0" borderId="0" xfId="1" applyFont="1" applyAlignment="1">
      <alignment vertical="top"/>
    </xf>
    <xf numFmtId="0" fontId="22" fillId="0" borderId="0" xfId="1" applyFont="1" applyAlignment="1">
      <alignment horizontal="left" vertical="top"/>
    </xf>
    <xf numFmtId="0" fontId="23" fillId="0" borderId="0" xfId="1" applyFont="1" applyAlignment="1">
      <alignment horizontal="left" vertical="top"/>
    </xf>
    <xf numFmtId="0" fontId="24" fillId="0" borderId="0" xfId="1" applyFont="1" applyAlignment="1">
      <alignment horizontal="left" vertical="top"/>
    </xf>
    <xf numFmtId="0" fontId="25" fillId="0" borderId="0" xfId="1" applyFont="1" applyAlignment="1">
      <alignment horizontal="left" vertical="top"/>
    </xf>
    <xf numFmtId="0" fontId="25" fillId="0" borderId="1" xfId="1" applyFont="1" applyBorder="1" applyAlignment="1">
      <alignment horizontal="left" vertical="top" wrapText="1"/>
    </xf>
    <xf numFmtId="166" fontId="25" fillId="0" borderId="22" xfId="1" applyNumberFormat="1" applyFont="1" applyBorder="1" applyAlignment="1">
      <alignment horizontal="left" vertical="top" wrapText="1"/>
    </xf>
    <xf numFmtId="166" fontId="25" fillId="0" borderId="15" xfId="1" applyNumberFormat="1" applyFont="1" applyBorder="1" applyAlignment="1">
      <alignment horizontal="left" vertical="top" wrapText="1"/>
    </xf>
    <xf numFmtId="0" fontId="25" fillId="0" borderId="0" xfId="1" applyFont="1" applyAlignment="1">
      <alignment horizontal="left" vertical="top" wrapText="1"/>
    </xf>
    <xf numFmtId="0" fontId="25" fillId="0" borderId="0" xfId="1" applyFont="1" applyAlignment="1">
      <alignment horizontal="center" vertical="top" wrapText="1"/>
    </xf>
    <xf numFmtId="0" fontId="25" fillId="0" borderId="0" xfId="1" applyFont="1" applyAlignment="1">
      <alignment horizontal="center" vertical="top"/>
    </xf>
    <xf numFmtId="0" fontId="24" fillId="0" borderId="1" xfId="1" applyFont="1" applyBorder="1" applyAlignment="1">
      <alignment horizontal="left" vertical="top"/>
    </xf>
    <xf numFmtId="0" fontId="2" fillId="0" borderId="0" xfId="1"/>
    <xf numFmtId="0" fontId="24" fillId="0" borderId="0" xfId="1" applyFont="1" applyAlignment="1">
      <alignment horizontal="left"/>
    </xf>
    <xf numFmtId="0" fontId="25" fillId="0" borderId="17" xfId="1" applyFont="1" applyBorder="1" applyAlignment="1">
      <alignment horizontal="left" vertical="top" wrapText="1"/>
    </xf>
    <xf numFmtId="0" fontId="30" fillId="0" borderId="0" xfId="0" applyFont="1"/>
    <xf numFmtId="0" fontId="30" fillId="0" borderId="0" xfId="0" applyFont="1" applyAlignment="1">
      <alignment horizontal="left"/>
    </xf>
    <xf numFmtId="0" fontId="30" fillId="0" borderId="1" xfId="0" applyFont="1" applyBorder="1" applyAlignment="1">
      <alignment vertical="top" wrapText="1"/>
    </xf>
    <xf numFmtId="0" fontId="30" fillId="0" borderId="1" xfId="0" quotePrefix="1" applyFont="1" applyBorder="1" applyAlignment="1">
      <alignment horizontal="center"/>
    </xf>
    <xf numFmtId="0" fontId="0" fillId="0" borderId="0" xfId="0" quotePrefix="1"/>
    <xf numFmtId="0" fontId="30" fillId="0" borderId="1" xfId="0" applyFont="1" applyBorder="1"/>
    <xf numFmtId="0" fontId="13" fillId="0" borderId="0" xfId="2" applyFont="1" applyAlignment="1">
      <alignment horizontal="center"/>
    </xf>
    <xf numFmtId="0" fontId="14" fillId="0" borderId="0" xfId="3"/>
    <xf numFmtId="0" fontId="14" fillId="3" borderId="36" xfId="3" applyFill="1" applyBorder="1" applyAlignment="1">
      <alignment horizontal="center"/>
    </xf>
    <xf numFmtId="0" fontId="14" fillId="3" borderId="0" xfId="3" applyFill="1"/>
    <xf numFmtId="0" fontId="14" fillId="3" borderId="0" xfId="3" applyFill="1" applyAlignment="1">
      <alignment horizontal="center"/>
    </xf>
    <xf numFmtId="0" fontId="14" fillId="3" borderId="37" xfId="3" applyFill="1" applyBorder="1" applyAlignment="1">
      <alignment horizontal="center"/>
    </xf>
    <xf numFmtId="0" fontId="14" fillId="0" borderId="36" xfId="3" applyBorder="1"/>
    <xf numFmtId="0" fontId="14" fillId="0" borderId="37" xfId="3" applyBorder="1"/>
    <xf numFmtId="0" fontId="13" fillId="0" borderId="0" xfId="3" applyFont="1" applyAlignment="1">
      <alignment horizontal="right"/>
    </xf>
    <xf numFmtId="0" fontId="13" fillId="3" borderId="37" xfId="3" applyFont="1" applyFill="1" applyBorder="1"/>
    <xf numFmtId="0" fontId="14" fillId="0" borderId="36" xfId="3" applyBorder="1" applyAlignment="1">
      <alignment horizontal="left"/>
    </xf>
    <xf numFmtId="0" fontId="14" fillId="0" borderId="0" xfId="3" applyAlignment="1">
      <alignment horizontal="left"/>
    </xf>
    <xf numFmtId="0" fontId="13" fillId="0" borderId="37" xfId="3" applyFont="1" applyBorder="1"/>
    <xf numFmtId="0" fontId="35" fillId="0" borderId="37" xfId="4" applyFont="1" applyBorder="1"/>
    <xf numFmtId="0" fontId="36" fillId="0" borderId="37" xfId="3" applyFont="1" applyBorder="1" applyAlignment="1">
      <alignment horizontal="left" vertical="center"/>
    </xf>
    <xf numFmtId="0" fontId="13" fillId="0" borderId="36" xfId="3" applyFont="1" applyBorder="1"/>
    <xf numFmtId="0" fontId="13" fillId="0" borderId="37" xfId="5" applyFont="1" applyBorder="1" applyAlignment="1">
      <alignment horizontal="left" vertical="center"/>
    </xf>
    <xf numFmtId="0" fontId="13" fillId="0" borderId="37" xfId="3" quotePrefix="1" applyFont="1" applyBorder="1" applyAlignment="1">
      <alignment horizontal="left"/>
    </xf>
    <xf numFmtId="0" fontId="13" fillId="0" borderId="37" xfId="3" applyFont="1" applyBorder="1" applyAlignment="1">
      <alignment horizontal="left"/>
    </xf>
    <xf numFmtId="167" fontId="13" fillId="0" borderId="37" xfId="3" applyNumberFormat="1" applyFont="1" applyBorder="1" applyAlignment="1">
      <alignment horizontal="left"/>
    </xf>
    <xf numFmtId="168" fontId="14" fillId="0" borderId="37" xfId="3" applyNumberFormat="1" applyBorder="1"/>
    <xf numFmtId="0" fontId="13" fillId="0" borderId="38" xfId="3" applyFont="1" applyBorder="1"/>
    <xf numFmtId="0" fontId="14" fillId="0" borderId="39" xfId="3" applyBorder="1"/>
    <xf numFmtId="0" fontId="13" fillId="0" borderId="39" xfId="3" applyFont="1" applyBorder="1" applyAlignment="1">
      <alignment horizontal="right"/>
    </xf>
    <xf numFmtId="0" fontId="14" fillId="0" borderId="40" xfId="3" applyBorder="1"/>
    <xf numFmtId="0" fontId="35" fillId="0" borderId="37" xfId="4" applyFont="1" applyBorder="1" applyAlignment="1">
      <alignment horizontal="left"/>
    </xf>
    <xf numFmtId="0" fontId="1" fillId="0" borderId="1" xfId="0" applyFont="1" applyBorder="1" applyAlignment="1">
      <alignment horizontal="left" vertical="center"/>
    </xf>
    <xf numFmtId="0" fontId="1" fillId="0" borderId="0" xfId="0" applyFont="1" applyAlignment="1">
      <alignment horizontal="left" vertical="center"/>
    </xf>
    <xf numFmtId="0" fontId="1" fillId="0" borderId="0" xfId="0" applyFont="1" applyAlignment="1">
      <alignment vertical="center"/>
    </xf>
    <xf numFmtId="0" fontId="1" fillId="0" borderId="13" xfId="0" applyFont="1" applyBorder="1" applyAlignment="1">
      <alignment vertical="top"/>
    </xf>
    <xf numFmtId="0" fontId="1" fillId="0" borderId="1" xfId="0" applyFont="1" applyBorder="1" applyAlignment="1">
      <alignment vertical="center"/>
    </xf>
    <xf numFmtId="0" fontId="1" fillId="0" borderId="2" xfId="0" applyFont="1" applyBorder="1" applyAlignment="1">
      <alignment vertical="center"/>
    </xf>
    <xf numFmtId="0" fontId="1" fillId="0" borderId="36" xfId="0" applyFont="1" applyBorder="1"/>
    <xf numFmtId="0" fontId="1" fillId="0" borderId="36" xfId="0" applyFont="1" applyBorder="1" applyAlignment="1">
      <alignment horizontal="left" vertical="center"/>
    </xf>
    <xf numFmtId="0" fontId="1" fillId="0" borderId="36" xfId="0" applyFont="1" applyBorder="1" applyAlignment="1">
      <alignment horizontal="left" vertical="center" wrapText="1"/>
    </xf>
    <xf numFmtId="0" fontId="1" fillId="0" borderId="37" xfId="0" applyFont="1" applyBorder="1"/>
    <xf numFmtId="0" fontId="1" fillId="0" borderId="37" xfId="0" applyFont="1" applyBorder="1" applyAlignment="1">
      <alignment horizontal="left" vertical="center"/>
    </xf>
    <xf numFmtId="0" fontId="1" fillId="0" borderId="36" xfId="0" applyFont="1" applyBorder="1" applyAlignment="1">
      <alignment vertical="top"/>
    </xf>
    <xf numFmtId="0" fontId="1" fillId="0" borderId="44" xfId="0" applyFont="1" applyBorder="1"/>
    <xf numFmtId="0" fontId="1" fillId="0" borderId="49" xfId="0" applyFont="1" applyBorder="1" applyAlignment="1">
      <alignment vertical="center"/>
    </xf>
    <xf numFmtId="0" fontId="1" fillId="0" borderId="50" xfId="0" applyFont="1" applyBorder="1" applyAlignment="1">
      <alignment vertical="center"/>
    </xf>
    <xf numFmtId="0" fontId="1" fillId="0" borderId="49" xfId="0" applyFont="1" applyBorder="1" applyAlignment="1">
      <alignment wrapText="1"/>
    </xf>
    <xf numFmtId="0" fontId="1" fillId="0" borderId="36" xfId="0" applyFont="1" applyBorder="1" applyAlignment="1">
      <alignment horizontal="left"/>
    </xf>
    <xf numFmtId="0" fontId="1" fillId="0" borderId="37" xfId="0" applyFont="1" applyBorder="1" applyAlignment="1">
      <alignment horizontal="center"/>
    </xf>
    <xf numFmtId="0" fontId="1" fillId="0" borderId="49" xfId="0" applyFont="1" applyBorder="1"/>
    <xf numFmtId="0" fontId="1" fillId="0" borderId="52" xfId="0" applyFont="1" applyBorder="1" applyAlignment="1">
      <alignment wrapText="1"/>
    </xf>
    <xf numFmtId="0" fontId="1" fillId="0" borderId="49" xfId="0" applyFont="1" applyBorder="1" applyAlignment="1">
      <alignment vertical="top"/>
    </xf>
    <xf numFmtId="0" fontId="1" fillId="0" borderId="36" xfId="0" applyFont="1" applyBorder="1" applyAlignment="1">
      <alignment vertical="center"/>
    </xf>
    <xf numFmtId="0" fontId="39" fillId="0" borderId="0" xfId="7" applyFill="1" applyBorder="1" applyAlignment="1" applyProtection="1">
      <alignment horizontal="left" vertical="top"/>
    </xf>
    <xf numFmtId="0" fontId="40" fillId="4" borderId="0" xfId="0" applyFont="1" applyFill="1"/>
    <xf numFmtId="0" fontId="41" fillId="4" borderId="0" xfId="0" applyFont="1" applyFill="1"/>
    <xf numFmtId="0" fontId="42" fillId="0" borderId="0" xfId="2" applyFont="1"/>
    <xf numFmtId="164" fontId="11" fillId="0" borderId="24" xfId="1" applyNumberFormat="1" applyFont="1" applyBorder="1" applyAlignment="1">
      <alignment horizontal="center" vertical="top" wrapText="1"/>
    </xf>
    <xf numFmtId="0" fontId="14" fillId="0" borderId="1" xfId="2" applyFont="1" applyBorder="1" applyAlignment="1">
      <alignment vertical="top" wrapText="1"/>
    </xf>
    <xf numFmtId="0" fontId="14" fillId="0" borderId="0" xfId="2" applyFont="1" applyAlignment="1">
      <alignment vertical="top" wrapText="1"/>
    </xf>
    <xf numFmtId="0" fontId="3" fillId="0" borderId="0" xfId="2" applyAlignment="1">
      <alignment vertical="top" wrapText="1"/>
    </xf>
    <xf numFmtId="0" fontId="34" fillId="0" borderId="37" xfId="0" applyFont="1" applyBorder="1"/>
    <xf numFmtId="0" fontId="12" fillId="0" borderId="0" xfId="437" applyAlignment="1">
      <alignment horizontal="left" vertical="top"/>
    </xf>
    <xf numFmtId="0" fontId="12" fillId="0" borderId="1" xfId="437" applyBorder="1" applyAlignment="1">
      <alignment horizontal="left" vertical="top"/>
    </xf>
    <xf numFmtId="0" fontId="7" fillId="0" borderId="2" xfId="437" applyFont="1" applyBorder="1" applyAlignment="1">
      <alignment vertical="top"/>
    </xf>
    <xf numFmtId="0" fontId="12" fillId="0" borderId="4" xfId="437" applyBorder="1" applyAlignment="1">
      <alignment vertical="top"/>
    </xf>
    <xf numFmtId="0" fontId="12" fillId="0" borderId="3" xfId="437" applyBorder="1" applyAlignment="1">
      <alignment vertical="top"/>
    </xf>
    <xf numFmtId="0" fontId="7" fillId="0" borderId="0" xfId="437" applyFont="1" applyAlignment="1">
      <alignment horizontal="center" vertical="top"/>
    </xf>
    <xf numFmtId="0" fontId="18" fillId="0" borderId="0" xfId="437" applyFont="1" applyAlignment="1">
      <alignment horizontal="left" vertical="top"/>
    </xf>
    <xf numFmtId="0" fontId="7" fillId="0" borderId="0" xfId="437" applyFont="1" applyAlignment="1">
      <alignment horizontal="left" vertical="top"/>
    </xf>
    <xf numFmtId="0" fontId="7" fillId="0" borderId="0" xfId="437" applyFont="1" applyAlignment="1">
      <alignment vertical="top"/>
    </xf>
    <xf numFmtId="0" fontId="51" fillId="0" borderId="0" xfId="437" applyFont="1" applyAlignment="1">
      <alignment horizontal="left" vertical="top"/>
    </xf>
    <xf numFmtId="0" fontId="51" fillId="0" borderId="0" xfId="437" applyFont="1" applyAlignment="1">
      <alignment vertical="top"/>
    </xf>
    <xf numFmtId="0" fontId="52" fillId="0" borderId="0" xfId="0" applyFont="1" applyAlignment="1">
      <alignment horizontal="left" indent="5"/>
    </xf>
    <xf numFmtId="0" fontId="54" fillId="0" borderId="0" xfId="437" applyFont="1" applyAlignment="1">
      <alignment horizontal="left" vertical="top"/>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0" xfId="0" applyAlignment="1">
      <alignment horizontal="center" vertical="center"/>
    </xf>
    <xf numFmtId="0" fontId="55" fillId="0" borderId="0" xfId="0" applyFont="1" applyAlignment="1">
      <alignment horizontal="center" vertical="center"/>
    </xf>
    <xf numFmtId="0" fontId="56" fillId="9" borderId="61" xfId="0" applyFont="1" applyFill="1" applyBorder="1" applyAlignment="1">
      <alignment horizontal="center" vertical="center" wrapText="1"/>
    </xf>
    <xf numFmtId="0" fontId="56" fillId="9" borderId="62" xfId="0" applyFont="1" applyFill="1" applyBorder="1" applyAlignment="1">
      <alignment horizontal="center" vertical="center" wrapText="1"/>
    </xf>
    <xf numFmtId="0" fontId="56" fillId="6" borderId="56" xfId="0" applyFont="1" applyFill="1" applyBorder="1" applyAlignment="1">
      <alignment horizontal="center" vertical="center" wrapText="1"/>
    </xf>
    <xf numFmtId="0" fontId="56" fillId="6" borderId="61" xfId="0" applyFont="1" applyFill="1" applyBorder="1" applyAlignment="1">
      <alignment horizontal="center" vertical="center" wrapText="1"/>
    </xf>
    <xf numFmtId="0" fontId="56" fillId="6" borderId="62" xfId="0" applyFont="1" applyFill="1" applyBorder="1" applyAlignment="1">
      <alignment horizontal="center" vertical="center" wrapText="1"/>
    </xf>
    <xf numFmtId="0" fontId="56" fillId="6" borderId="63" xfId="0" applyFont="1" applyFill="1" applyBorder="1" applyAlignment="1">
      <alignment horizontal="center" vertical="center" wrapText="1"/>
    </xf>
    <xf numFmtId="0" fontId="56" fillId="10" borderId="62" xfId="0" applyFont="1" applyFill="1" applyBorder="1" applyAlignment="1">
      <alignment horizontal="center" vertical="center" wrapText="1"/>
    </xf>
    <xf numFmtId="0" fontId="56" fillId="10" borderId="63" xfId="0" applyFont="1" applyFill="1" applyBorder="1" applyAlignment="1">
      <alignment horizontal="center" vertical="center" wrapText="1"/>
    </xf>
    <xf numFmtId="0" fontId="56" fillId="10" borderId="61" xfId="0" applyFont="1" applyFill="1" applyBorder="1" applyAlignment="1">
      <alignment horizontal="center" vertical="center" wrapText="1"/>
    </xf>
    <xf numFmtId="0" fontId="56" fillId="11" borderId="61" xfId="0" applyFont="1" applyFill="1" applyBorder="1" applyAlignment="1">
      <alignment horizontal="center" vertical="center" wrapText="1"/>
    </xf>
    <xf numFmtId="0" fontId="56" fillId="11" borderId="62" xfId="0" applyFont="1" applyFill="1" applyBorder="1" applyAlignment="1">
      <alignment horizontal="center" vertical="center" wrapText="1"/>
    </xf>
    <xf numFmtId="0" fontId="56" fillId="11" borderId="63" xfId="0" applyFont="1" applyFill="1" applyBorder="1" applyAlignment="1">
      <alignment horizontal="center" vertical="center" wrapText="1"/>
    </xf>
    <xf numFmtId="0" fontId="56" fillId="5" borderId="61" xfId="0" applyFont="1" applyFill="1" applyBorder="1" applyAlignment="1">
      <alignment horizontal="center" vertical="center" wrapText="1"/>
    </xf>
    <xf numFmtId="0" fontId="56" fillId="5" borderId="62" xfId="0" applyFont="1" applyFill="1" applyBorder="1" applyAlignment="1">
      <alignment horizontal="center" vertical="center" wrapText="1"/>
    </xf>
    <xf numFmtId="0" fontId="56" fillId="8" borderId="62" xfId="0" applyFont="1" applyFill="1" applyBorder="1" applyAlignment="1">
      <alignment horizontal="center" vertical="center" wrapText="1"/>
    </xf>
    <xf numFmtId="0" fontId="56" fillId="8" borderId="63" xfId="0" applyFont="1" applyFill="1" applyBorder="1" applyAlignment="1">
      <alignment horizontal="center" vertical="center" wrapText="1"/>
    </xf>
    <xf numFmtId="0" fontId="56" fillId="7" borderId="62" xfId="0" applyFont="1" applyFill="1" applyBorder="1" applyAlignment="1">
      <alignment horizontal="center" vertical="center" wrapText="1"/>
    </xf>
    <xf numFmtId="0" fontId="56" fillId="7" borderId="63" xfId="0" applyFont="1" applyFill="1" applyBorder="1" applyAlignment="1">
      <alignment horizontal="center" vertical="center" wrapText="1"/>
    </xf>
    <xf numFmtId="0" fontId="58" fillId="0" borderId="57" xfId="0" applyFont="1" applyBorder="1" applyAlignment="1">
      <alignment horizontal="center" vertical="center"/>
    </xf>
    <xf numFmtId="0" fontId="58" fillId="0" borderId="0" xfId="0" applyFont="1" applyAlignment="1">
      <alignment horizontal="center" vertical="center"/>
    </xf>
    <xf numFmtId="0" fontId="0" fillId="0" borderId="5" xfId="0" applyBorder="1" applyAlignment="1">
      <alignment horizontal="center" vertical="center"/>
    </xf>
    <xf numFmtId="14" fontId="0" fillId="0" borderId="5" xfId="0" applyNumberFormat="1" applyBorder="1" applyAlignment="1">
      <alignment horizontal="center" vertical="center"/>
    </xf>
    <xf numFmtId="0" fontId="56" fillId="9" borderId="63" xfId="0" applyFont="1" applyFill="1" applyBorder="1" applyAlignment="1">
      <alignment horizontal="center" vertical="center" wrapText="1"/>
    </xf>
    <xf numFmtId="0" fontId="56" fillId="8" borderId="61" xfId="0" applyFont="1" applyFill="1" applyBorder="1" applyAlignment="1">
      <alignment horizontal="center" vertical="center" wrapText="1"/>
    </xf>
    <xf numFmtId="0" fontId="56" fillId="7" borderId="61" xfId="0" applyFont="1" applyFill="1" applyBorder="1" applyAlignment="1">
      <alignment horizontal="center" vertical="center" wrapText="1"/>
    </xf>
    <xf numFmtId="0" fontId="57" fillId="0" borderId="65" xfId="0" applyFont="1" applyBorder="1" applyAlignment="1">
      <alignment horizontal="center" vertical="center"/>
    </xf>
    <xf numFmtId="0" fontId="58" fillId="0" borderId="58" xfId="0" applyFont="1" applyBorder="1" applyAlignment="1">
      <alignment horizontal="center" vertical="center"/>
    </xf>
    <xf numFmtId="0" fontId="58" fillId="0" borderId="59" xfId="0" applyFont="1" applyBorder="1" applyAlignment="1">
      <alignment horizontal="center" vertical="center"/>
    </xf>
    <xf numFmtId="0" fontId="58" fillId="0" borderId="60" xfId="0" applyFont="1" applyBorder="1" applyAlignment="1">
      <alignment horizontal="center" vertical="center"/>
    </xf>
    <xf numFmtId="0" fontId="56" fillId="12" borderId="62" xfId="0" applyFont="1" applyFill="1" applyBorder="1" applyAlignment="1">
      <alignment horizontal="center" vertical="center" wrapText="1"/>
    </xf>
    <xf numFmtId="0" fontId="56" fillId="13" borderId="62" xfId="0" applyFont="1" applyFill="1" applyBorder="1" applyAlignment="1">
      <alignment horizontal="center" vertical="center" wrapText="1"/>
    </xf>
    <xf numFmtId="0" fontId="56" fillId="13" borderId="63" xfId="0" applyFont="1" applyFill="1" applyBorder="1" applyAlignment="1">
      <alignment horizontal="center" vertical="center" wrapText="1"/>
    </xf>
    <xf numFmtId="0" fontId="58" fillId="0" borderId="59" xfId="0" applyFont="1" applyBorder="1" applyAlignment="1">
      <alignment horizontal="center" vertical="center" wrapText="1"/>
    </xf>
    <xf numFmtId="0" fontId="56" fillId="5" borderId="63" xfId="0" applyFont="1" applyFill="1" applyBorder="1" applyAlignment="1">
      <alignment horizontal="center" vertical="center" wrapText="1"/>
    </xf>
    <xf numFmtId="0" fontId="56" fillId="12" borderId="61" xfId="0" applyFont="1" applyFill="1" applyBorder="1" applyAlignment="1">
      <alignment horizontal="center" vertical="center" wrapText="1"/>
    </xf>
    <xf numFmtId="0" fontId="56" fillId="12" borderId="63" xfId="0" applyFont="1" applyFill="1" applyBorder="1" applyAlignment="1">
      <alignment horizontal="center" vertical="center" wrapText="1"/>
    </xf>
    <xf numFmtId="0" fontId="56" fillId="13" borderId="61" xfId="0" applyFont="1" applyFill="1" applyBorder="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horizontal="center" vertical="center"/>
    </xf>
    <xf numFmtId="14" fontId="59" fillId="0" borderId="0" xfId="0" applyNumberFormat="1" applyFont="1" applyAlignment="1">
      <alignment horizontal="center" vertical="center"/>
    </xf>
    <xf numFmtId="0" fontId="56" fillId="13" borderId="64" xfId="0" applyFont="1" applyFill="1" applyBorder="1" applyAlignment="1">
      <alignment horizontal="center" vertical="center" wrapText="1"/>
    </xf>
    <xf numFmtId="0" fontId="58" fillId="14" borderId="60" xfId="0" applyFont="1" applyFill="1" applyBorder="1" applyAlignment="1">
      <alignment horizontal="center" vertical="center"/>
    </xf>
    <xf numFmtId="0" fontId="60" fillId="0" borderId="0" xfId="0" applyFont="1"/>
    <xf numFmtId="0" fontId="60" fillId="0" borderId="0" xfId="0" applyFont="1" applyAlignment="1">
      <alignment horizontal="left"/>
    </xf>
    <xf numFmtId="0" fontId="60" fillId="15" borderId="0" xfId="0" applyFont="1" applyFill="1"/>
    <xf numFmtId="0" fontId="60" fillId="15" borderId="0" xfId="0" applyFont="1" applyFill="1" applyAlignment="1">
      <alignment vertical="center"/>
    </xf>
    <xf numFmtId="0" fontId="60" fillId="15" borderId="0" xfId="0" applyFont="1" applyFill="1" applyAlignment="1">
      <alignment vertical="center" wrapText="1"/>
    </xf>
    <xf numFmtId="0" fontId="61" fillId="9" borderId="1" xfId="0" applyFont="1" applyFill="1" applyBorder="1" applyAlignment="1">
      <alignment horizontal="left" vertical="center" wrapText="1"/>
    </xf>
    <xf numFmtId="0" fontId="62" fillId="15" borderId="1" xfId="0" applyFont="1" applyFill="1" applyBorder="1" applyAlignment="1">
      <alignment horizontal="left" vertical="center" wrapText="1"/>
    </xf>
    <xf numFmtId="0" fontId="60" fillId="15" borderId="1" xfId="0" applyFont="1" applyFill="1" applyBorder="1" applyAlignment="1">
      <alignment horizontal="left" vertical="center" wrapText="1"/>
    </xf>
    <xf numFmtId="0" fontId="60" fillId="15" borderId="1" xfId="0" quotePrefix="1" applyFont="1" applyFill="1" applyBorder="1" applyAlignment="1">
      <alignment horizontal="left" vertical="center" wrapText="1"/>
    </xf>
    <xf numFmtId="0" fontId="60" fillId="15" borderId="0" xfId="0" applyFont="1" applyFill="1" applyAlignment="1">
      <alignment horizontal="left"/>
    </xf>
    <xf numFmtId="0" fontId="61" fillId="9" borderId="1" xfId="0" applyFont="1" applyFill="1" applyBorder="1" applyAlignment="1">
      <alignment vertical="center" wrapText="1"/>
    </xf>
    <xf numFmtId="0" fontId="62" fillId="15" borderId="1" xfId="0" applyFont="1" applyFill="1" applyBorder="1" applyAlignment="1">
      <alignment vertical="center" wrapText="1"/>
    </xf>
    <xf numFmtId="0" fontId="60" fillId="15" borderId="1" xfId="0" applyFont="1" applyFill="1" applyBorder="1" applyAlignment="1">
      <alignment vertical="center" wrapText="1"/>
    </xf>
    <xf numFmtId="0" fontId="1" fillId="18" borderId="0" xfId="0" applyFont="1" applyFill="1"/>
    <xf numFmtId="9" fontId="60" fillId="15" borderId="1" xfId="0" applyNumberFormat="1" applyFont="1" applyFill="1" applyBorder="1" applyAlignment="1">
      <alignment horizontal="left" vertical="center" wrapText="1"/>
    </xf>
    <xf numFmtId="0" fontId="55" fillId="0" borderId="66" xfId="0" applyFont="1" applyBorder="1" applyAlignment="1">
      <alignment horizontal="center" vertical="center"/>
    </xf>
    <xf numFmtId="0" fontId="55" fillId="0" borderId="31" xfId="0" applyFont="1" applyBorder="1" applyAlignment="1">
      <alignment horizontal="center" vertical="center"/>
    </xf>
    <xf numFmtId="0" fontId="65" fillId="0" borderId="0" xfId="0" applyFont="1" applyAlignment="1">
      <alignment horizontal="center" vertical="center"/>
    </xf>
    <xf numFmtId="14" fontId="55" fillId="0" borderId="31" xfId="0" applyNumberFormat="1" applyFont="1" applyBorder="1" applyAlignment="1">
      <alignment horizontal="center" vertical="center"/>
    </xf>
    <xf numFmtId="0" fontId="62" fillId="20" borderId="1" xfId="0" applyFont="1" applyFill="1" applyBorder="1" applyAlignment="1">
      <alignment vertical="center" wrapText="1"/>
    </xf>
    <xf numFmtId="0" fontId="62" fillId="20" borderId="1" xfId="0" applyFont="1" applyFill="1" applyBorder="1" applyAlignment="1">
      <alignment horizontal="left" vertical="center" wrapText="1"/>
    </xf>
    <xf numFmtId="0" fontId="60" fillId="0" borderId="1" xfId="0" applyFont="1" applyBorder="1" applyAlignment="1">
      <alignment horizontal="left"/>
    </xf>
    <xf numFmtId="0" fontId="60" fillId="20" borderId="1" xfId="0" applyFont="1" applyFill="1" applyBorder="1" applyAlignment="1">
      <alignment vertical="center" wrapText="1"/>
    </xf>
    <xf numFmtId="0" fontId="60" fillId="20" borderId="1" xfId="0" applyFont="1" applyFill="1" applyBorder="1" applyAlignment="1">
      <alignment horizontal="left" vertical="center" wrapText="1"/>
    </xf>
    <xf numFmtId="0" fontId="46" fillId="0" borderId="49" xfId="0" applyFont="1" applyBorder="1" applyAlignment="1">
      <alignment horizontal="left" vertical="center"/>
    </xf>
    <xf numFmtId="0" fontId="36" fillId="15" borderId="1" xfId="0" applyFont="1" applyFill="1" applyBorder="1" applyAlignment="1">
      <alignment horizontal="left" vertical="center" wrapText="1"/>
    </xf>
    <xf numFmtId="9" fontId="55" fillId="0" borderId="31" xfId="438" applyFont="1" applyFill="1" applyBorder="1" applyAlignment="1">
      <alignment horizontal="center" vertical="center"/>
    </xf>
    <xf numFmtId="9" fontId="14" fillId="0" borderId="1" xfId="2" applyNumberFormat="1" applyFont="1" applyBorder="1" applyAlignment="1">
      <alignment horizontal="left" vertical="top" wrapText="1"/>
    </xf>
    <xf numFmtId="0" fontId="69" fillId="0" borderId="0" xfId="0" applyFont="1" applyAlignment="1">
      <alignment vertical="center"/>
    </xf>
    <xf numFmtId="0" fontId="69" fillId="0" borderId="0" xfId="0" applyFont="1" applyAlignment="1">
      <alignment horizontal="center" vertical="center"/>
    </xf>
    <xf numFmtId="0" fontId="36" fillId="15" borderId="1" xfId="0" applyFont="1" applyFill="1" applyBorder="1" applyAlignment="1">
      <alignment vertical="center" wrapText="1"/>
    </xf>
    <xf numFmtId="0" fontId="0" fillId="0" borderId="1" xfId="0" applyBorder="1"/>
    <xf numFmtId="0" fontId="60" fillId="0" borderId="1" xfId="0" applyFont="1" applyBorder="1"/>
    <xf numFmtId="1" fontId="60" fillId="16" borderId="1" xfId="0" quotePrefix="1" applyNumberFormat="1" applyFont="1" applyFill="1" applyBorder="1" applyAlignment="1">
      <alignment horizontal="left" vertical="center" wrapText="1"/>
    </xf>
    <xf numFmtId="1" fontId="60" fillId="15" borderId="1" xfId="0" quotePrefix="1" applyNumberFormat="1" applyFont="1" applyFill="1" applyBorder="1" applyAlignment="1">
      <alignment horizontal="left" vertical="center" wrapText="1"/>
    </xf>
    <xf numFmtId="170" fontId="3" fillId="0" borderId="0" xfId="2" applyNumberFormat="1"/>
    <xf numFmtId="170" fontId="30" fillId="0" borderId="1" xfId="0" applyNumberFormat="1" applyFont="1" applyBorder="1"/>
    <xf numFmtId="0" fontId="34" fillId="0" borderId="36" xfId="0" applyFont="1" applyBorder="1"/>
    <xf numFmtId="0" fontId="34" fillId="0" borderId="0" xfId="0" applyFont="1"/>
    <xf numFmtId="0" fontId="33" fillId="0" borderId="36" xfId="0" applyFont="1" applyBorder="1"/>
    <xf numFmtId="0" fontId="33" fillId="0" borderId="0" xfId="0" applyFont="1"/>
    <xf numFmtId="0" fontId="1" fillId="0" borderId="2" xfId="0" applyFont="1" applyBorder="1"/>
    <xf numFmtId="0" fontId="1" fillId="0" borderId="45" xfId="0" applyFont="1" applyBorder="1"/>
    <xf numFmtId="0" fontId="46" fillId="0" borderId="1" xfId="0" applyFont="1" applyBorder="1" applyAlignment="1">
      <alignment horizontal="left" vertical="center" wrapText="1"/>
    </xf>
    <xf numFmtId="170" fontId="46" fillId="0" borderId="1" xfId="0" applyNumberFormat="1" applyFont="1" applyBorder="1" applyAlignment="1">
      <alignment horizontal="left" vertical="center"/>
    </xf>
    <xf numFmtId="0" fontId="46" fillId="0" borderId="1" xfId="0" applyFont="1" applyBorder="1" applyAlignment="1">
      <alignment horizontal="left" vertical="center"/>
    </xf>
    <xf numFmtId="0" fontId="46" fillId="0" borderId="12" xfId="0" applyFont="1" applyBorder="1" applyAlignment="1">
      <alignment vertical="center" wrapText="1"/>
    </xf>
    <xf numFmtId="0" fontId="1" fillId="0" borderId="41" xfId="0" applyFont="1" applyBorder="1"/>
    <xf numFmtId="0" fontId="1" fillId="0" borderId="42" xfId="0" applyFont="1" applyBorder="1"/>
    <xf numFmtId="0" fontId="70" fillId="2" borderId="0" xfId="0" applyFont="1" applyFill="1" applyAlignment="1">
      <alignment horizontal="left"/>
    </xf>
    <xf numFmtId="0" fontId="46" fillId="0" borderId="2" xfId="0" applyFont="1" applyBorder="1" applyAlignment="1">
      <alignment vertical="center"/>
    </xf>
    <xf numFmtId="0" fontId="46" fillId="0" borderId="4" xfId="0" applyFont="1" applyBorder="1" applyAlignment="1">
      <alignment vertical="center"/>
    </xf>
    <xf numFmtId="0" fontId="46" fillId="0" borderId="3" xfId="0" applyFont="1" applyBorder="1" applyAlignment="1">
      <alignment vertical="center"/>
    </xf>
    <xf numFmtId="0" fontId="71" fillId="0" borderId="0" xfId="0" applyFont="1" applyAlignment="1">
      <alignment horizontal="center"/>
    </xf>
    <xf numFmtId="0" fontId="0" fillId="2" borderId="0" xfId="0" applyFill="1"/>
    <xf numFmtId="170" fontId="46" fillId="0" borderId="2" xfId="0" applyNumberFormat="1" applyFont="1" applyBorder="1" applyAlignment="1">
      <alignment vertical="center"/>
    </xf>
    <xf numFmtId="170" fontId="46" fillId="0" borderId="3" xfId="0" applyNumberFormat="1" applyFont="1" applyBorder="1" applyAlignment="1">
      <alignment vertical="center"/>
    </xf>
    <xf numFmtId="0" fontId="46" fillId="0" borderId="1" xfId="0" applyFont="1" applyBorder="1" applyAlignment="1">
      <alignment horizontal="center" vertical="center"/>
    </xf>
    <xf numFmtId="0" fontId="46" fillId="0" borderId="45" xfId="0" applyFont="1" applyBorder="1" applyAlignment="1">
      <alignment vertical="center"/>
    </xf>
    <xf numFmtId="0" fontId="46" fillId="0" borderId="48" xfId="0" applyFont="1" applyBorder="1" applyAlignment="1">
      <alignment vertical="top" wrapText="1"/>
    </xf>
    <xf numFmtId="0" fontId="46" fillId="0" borderId="13" xfId="0" applyFont="1" applyBorder="1" applyAlignment="1">
      <alignment vertical="top" wrapText="1"/>
    </xf>
    <xf numFmtId="0" fontId="46" fillId="0" borderId="11" xfId="0" applyFont="1" applyBorder="1" applyAlignment="1">
      <alignment vertical="top" wrapText="1"/>
    </xf>
    <xf numFmtId="0" fontId="46" fillId="0" borderId="10" xfId="0" applyFont="1" applyBorder="1" applyAlignment="1">
      <alignment vertical="top" wrapText="1"/>
    </xf>
    <xf numFmtId="0" fontId="46" fillId="0" borderId="44" xfId="0" applyFont="1" applyBorder="1" applyAlignment="1">
      <alignment vertical="top" wrapText="1"/>
    </xf>
    <xf numFmtId="0" fontId="46" fillId="0" borderId="5" xfId="0" applyFont="1" applyBorder="1" applyAlignment="1">
      <alignment vertical="top"/>
    </xf>
    <xf numFmtId="0" fontId="46" fillId="0" borderId="51" xfId="0" applyFont="1" applyBorder="1" applyAlignment="1">
      <alignment horizontal="left" vertical="center"/>
    </xf>
    <xf numFmtId="0" fontId="1" fillId="0" borderId="3" xfId="0" applyFont="1" applyBorder="1"/>
    <xf numFmtId="0" fontId="46" fillId="0" borderId="2" xfId="0" applyFont="1" applyBorder="1" applyAlignment="1">
      <alignment horizontal="left"/>
    </xf>
    <xf numFmtId="0" fontId="46" fillId="0" borderId="45" xfId="0" applyFont="1" applyBorder="1"/>
    <xf numFmtId="0" fontId="46" fillId="0" borderId="2" xfId="0" applyFont="1" applyBorder="1"/>
    <xf numFmtId="0" fontId="46" fillId="0" borderId="3" xfId="0" applyFont="1" applyBorder="1"/>
    <xf numFmtId="1" fontId="46" fillId="0" borderId="2" xfId="0" applyNumberFormat="1" applyFont="1" applyBorder="1"/>
    <xf numFmtId="0" fontId="46" fillId="0" borderId="2" xfId="0" applyFont="1" applyBorder="1" applyAlignment="1">
      <alignment horizontal="left" vertical="center"/>
    </xf>
    <xf numFmtId="0" fontId="1" fillId="0" borderId="2" xfId="0" applyFont="1" applyBorder="1" applyAlignment="1">
      <alignment wrapText="1"/>
    </xf>
    <xf numFmtId="0" fontId="1" fillId="0" borderId="45" xfId="0" applyFont="1" applyBorder="1" applyAlignment="1">
      <alignment wrapText="1"/>
    </xf>
    <xf numFmtId="9" fontId="46" fillId="0" borderId="1" xfId="438" applyFont="1" applyBorder="1" applyAlignment="1">
      <alignment horizontal="left" vertical="center"/>
    </xf>
    <xf numFmtId="0" fontId="1" fillId="0" borderId="49" xfId="0" applyFont="1" applyBorder="1" applyAlignment="1">
      <alignment horizontal="left" vertical="center"/>
    </xf>
    <xf numFmtId="9" fontId="1" fillId="0" borderId="1" xfId="0" applyNumberFormat="1" applyFont="1" applyBorder="1" applyAlignment="1">
      <alignment horizontal="left" vertical="center"/>
    </xf>
    <xf numFmtId="1" fontId="46" fillId="0" borderId="2" xfId="0" applyNumberFormat="1" applyFont="1" applyBorder="1" applyAlignment="1">
      <alignment vertical="center"/>
    </xf>
    <xf numFmtId="0" fontId="0" fillId="0" borderId="36" xfId="0" applyBorder="1"/>
    <xf numFmtId="0" fontId="0" fillId="0" borderId="0" xfId="0" applyAlignment="1">
      <alignment horizontal="left" vertical="center"/>
    </xf>
    <xf numFmtId="0" fontId="0" fillId="0" borderId="37" xfId="0" applyBorder="1" applyAlignment="1">
      <alignment horizontal="left" vertical="center"/>
    </xf>
    <xf numFmtId="0" fontId="0" fillId="0" borderId="37" xfId="0" applyBorder="1"/>
    <xf numFmtId="1" fontId="46" fillId="0" borderId="1" xfId="0" applyNumberFormat="1" applyFont="1" applyBorder="1" applyAlignment="1">
      <alignment horizontal="left" vertical="center"/>
    </xf>
    <xf numFmtId="0" fontId="46" fillId="0" borderId="53" xfId="0" applyFont="1" applyBorder="1" applyAlignment="1">
      <alignment horizontal="left" vertical="center"/>
    </xf>
    <xf numFmtId="0" fontId="46" fillId="0" borderId="0" xfId="0" applyFont="1" applyAlignment="1">
      <alignment horizontal="left" vertical="center"/>
    </xf>
    <xf numFmtId="0" fontId="46" fillId="0" borderId="37" xfId="0" applyFont="1" applyBorder="1" applyAlignment="1">
      <alignment horizontal="left" vertical="center"/>
    </xf>
    <xf numFmtId="0" fontId="30" fillId="0" borderId="1" xfId="0" applyFont="1" applyBorder="1" applyAlignment="1">
      <alignment horizontal="left" vertical="center" wrapText="1"/>
    </xf>
    <xf numFmtId="0" fontId="69" fillId="0" borderId="1" xfId="0" applyFont="1" applyBorder="1" applyAlignment="1">
      <alignment horizontal="left" wrapText="1"/>
    </xf>
    <xf numFmtId="0" fontId="69" fillId="0" borderId="1" xfId="0" applyFont="1" applyBorder="1" applyAlignment="1">
      <alignment horizontal="left"/>
    </xf>
    <xf numFmtId="0" fontId="0" fillId="0" borderId="38" xfId="0" applyBorder="1"/>
    <xf numFmtId="0" fontId="0" fillId="0" borderId="39" xfId="0" applyBorder="1"/>
    <xf numFmtId="9" fontId="30" fillId="0" borderId="1" xfId="438" applyFont="1" applyBorder="1"/>
    <xf numFmtId="9" fontId="14" fillId="0" borderId="1" xfId="438" applyFont="1" applyBorder="1" applyAlignment="1">
      <alignment horizontal="left" vertical="top" wrapText="1"/>
    </xf>
    <xf numFmtId="0" fontId="12" fillId="0" borderId="0" xfId="437" applyAlignment="1">
      <alignment horizontal="center" vertical="top"/>
    </xf>
    <xf numFmtId="0" fontId="72" fillId="0" borderId="0" xfId="437" applyFont="1" applyAlignment="1">
      <alignment horizontal="left" vertical="top"/>
    </xf>
    <xf numFmtId="14" fontId="62" fillId="15" borderId="1" xfId="0" applyNumberFormat="1" applyFont="1" applyFill="1" applyBorder="1" applyAlignment="1">
      <alignment horizontal="left" vertical="center" wrapText="1"/>
    </xf>
    <xf numFmtId="0" fontId="1" fillId="0" borderId="2" xfId="0" applyFont="1" applyBorder="1" applyAlignment="1">
      <alignment horizontal="left"/>
    </xf>
    <xf numFmtId="0" fontId="60" fillId="0" borderId="1" xfId="0" applyFont="1" applyBorder="1" applyAlignment="1">
      <alignment horizontal="left" wrapText="1"/>
    </xf>
    <xf numFmtId="0" fontId="62" fillId="21" borderId="1" xfId="0" applyFont="1" applyFill="1" applyBorder="1" applyAlignment="1">
      <alignment horizontal="left" vertical="center" wrapText="1"/>
    </xf>
    <xf numFmtId="0" fontId="60" fillId="21" borderId="1" xfId="0" applyFont="1" applyFill="1" applyBorder="1" applyAlignment="1">
      <alignment horizontal="left" vertical="center" wrapText="1"/>
    </xf>
    <xf numFmtId="0" fontId="36" fillId="21" borderId="1" xfId="0" applyFont="1" applyFill="1" applyBorder="1" applyAlignment="1">
      <alignment horizontal="left" vertical="center" wrapText="1"/>
    </xf>
    <xf numFmtId="0" fontId="39" fillId="15" borderId="1" xfId="7" applyFill="1" applyBorder="1" applyAlignment="1" applyProtection="1">
      <alignment horizontal="left" vertical="center" wrapText="1"/>
    </xf>
    <xf numFmtId="1" fontId="60" fillId="15" borderId="1" xfId="0" applyNumberFormat="1" applyFont="1" applyFill="1" applyBorder="1" applyAlignment="1">
      <alignment horizontal="left" vertical="center" wrapText="1"/>
    </xf>
    <xf numFmtId="49" fontId="64" fillId="19" borderId="1" xfId="0" applyNumberFormat="1" applyFont="1" applyFill="1" applyBorder="1"/>
    <xf numFmtId="171" fontId="46" fillId="0" borderId="2" xfId="0" applyNumberFormat="1" applyFont="1" applyBorder="1" applyAlignment="1">
      <alignment horizontal="left" vertical="center"/>
    </xf>
    <xf numFmtId="171" fontId="62" fillId="15" borderId="1" xfId="0" applyNumberFormat="1" applyFont="1" applyFill="1" applyBorder="1" applyAlignment="1">
      <alignment horizontal="left" vertical="center" wrapText="1"/>
    </xf>
    <xf numFmtId="49" fontId="0" fillId="0" borderId="0" xfId="0" applyNumberFormat="1" applyAlignment="1">
      <alignment horizontal="center"/>
    </xf>
    <xf numFmtId="49" fontId="20" fillId="0" borderId="0" xfId="0" applyNumberFormat="1" applyFont="1" applyAlignment="1">
      <alignment horizontal="center"/>
    </xf>
    <xf numFmtId="172" fontId="0" fillId="0" borderId="0" xfId="0" applyNumberFormat="1" applyAlignment="1">
      <alignment horizontal="center"/>
    </xf>
    <xf numFmtId="0" fontId="0" fillId="0" borderId="0" xfId="0" applyAlignment="1">
      <alignment horizontal="center"/>
    </xf>
    <xf numFmtId="1" fontId="0" fillId="0" borderId="0" xfId="0" applyNumberFormat="1" applyAlignment="1">
      <alignment horizontal="center" vertical="center"/>
    </xf>
    <xf numFmtId="173" fontId="14" fillId="0" borderId="1" xfId="2" applyNumberFormat="1" applyFont="1" applyBorder="1" applyAlignment="1">
      <alignment horizontal="left" vertical="top" wrapText="1"/>
    </xf>
    <xf numFmtId="0" fontId="36" fillId="15" borderId="1" xfId="0" applyFont="1" applyFill="1" applyBorder="1" applyAlignment="1">
      <alignment horizontal="center" vertical="center" wrapText="1"/>
    </xf>
    <xf numFmtId="0" fontId="3" fillId="0" borderId="0" xfId="3" applyFont="1"/>
    <xf numFmtId="0" fontId="59" fillId="0" borderId="33" xfId="0" applyFont="1" applyBorder="1"/>
    <xf numFmtId="0" fontId="0" fillId="0" borderId="34" xfId="0" applyBorder="1"/>
    <xf numFmtId="0" fontId="59" fillId="0" borderId="36" xfId="0" applyFont="1" applyBorder="1"/>
    <xf numFmtId="0" fontId="59" fillId="0" borderId="0" xfId="0" applyFont="1"/>
    <xf numFmtId="0" fontId="59" fillId="0" borderId="39" xfId="0" applyFont="1" applyBorder="1"/>
    <xf numFmtId="0" fontId="69" fillId="0" borderId="0" xfId="0" applyFont="1"/>
    <xf numFmtId="0" fontId="80" fillId="14" borderId="34" xfId="0" applyFont="1" applyFill="1" applyBorder="1" applyAlignment="1">
      <alignment vertical="center" wrapText="1"/>
    </xf>
    <xf numFmtId="0" fontId="80" fillId="14" borderId="39" xfId="0" applyFont="1" applyFill="1" applyBorder="1" applyAlignment="1">
      <alignment vertical="center" wrapText="1"/>
    </xf>
    <xf numFmtId="0" fontId="80" fillId="14" borderId="33" xfId="0" applyFont="1" applyFill="1" applyBorder="1" applyAlignment="1">
      <alignment vertical="center" wrapText="1"/>
    </xf>
    <xf numFmtId="0" fontId="80" fillId="14" borderId="38" xfId="0" applyFont="1" applyFill="1" applyBorder="1" applyAlignment="1">
      <alignment vertical="center" wrapText="1"/>
    </xf>
    <xf numFmtId="49" fontId="64" fillId="19" borderId="2" xfId="0" applyNumberFormat="1" applyFont="1" applyFill="1" applyBorder="1"/>
    <xf numFmtId="49" fontId="0" fillId="0" borderId="1" xfId="0" applyNumberFormat="1" applyBorder="1" applyAlignment="1">
      <alignment horizontal="center"/>
    </xf>
    <xf numFmtId="172" fontId="0" fillId="0" borderId="1" xfId="0" applyNumberFormat="1" applyBorder="1" applyAlignment="1">
      <alignment horizontal="center"/>
    </xf>
    <xf numFmtId="1" fontId="0" fillId="0" borderId="1" xfId="0" applyNumberFormat="1" applyBorder="1" applyAlignment="1">
      <alignment horizontal="center"/>
    </xf>
    <xf numFmtId="172" fontId="0" fillId="0" borderId="1" xfId="0" applyNumberFormat="1" applyBorder="1" applyAlignment="1">
      <alignment horizontal="center" vertical="center"/>
    </xf>
    <xf numFmtId="1" fontId="0" fillId="0" borderId="1" xfId="0" applyNumberFormat="1" applyBorder="1" applyAlignment="1">
      <alignment horizontal="center" vertical="center"/>
    </xf>
    <xf numFmtId="0" fontId="0" fillId="0" borderId="1" xfId="0" applyBorder="1" applyAlignment="1">
      <alignment horizontal="center"/>
    </xf>
    <xf numFmtId="49" fontId="60" fillId="15" borderId="1" xfId="0" quotePrefix="1" applyNumberFormat="1" applyFont="1" applyFill="1" applyBorder="1" applyAlignment="1">
      <alignment horizontal="left" vertical="center" wrapText="1"/>
    </xf>
    <xf numFmtId="0" fontId="60" fillId="20" borderId="1" xfId="0" applyFont="1" applyFill="1" applyBorder="1"/>
    <xf numFmtId="0" fontId="61" fillId="15" borderId="1" xfId="0" applyFont="1" applyFill="1" applyBorder="1" applyAlignment="1">
      <alignment horizontal="left" vertical="center" wrapText="1"/>
    </xf>
    <xf numFmtId="0" fontId="58" fillId="15" borderId="1" xfId="0" applyFont="1" applyFill="1" applyBorder="1" applyAlignment="1">
      <alignment horizontal="left" vertical="center" wrapText="1"/>
    </xf>
    <xf numFmtId="0" fontId="63" fillId="15" borderId="0" xfId="0" applyFont="1" applyFill="1"/>
    <xf numFmtId="0" fontId="82" fillId="15" borderId="0" xfId="0" applyFont="1" applyFill="1" applyAlignment="1">
      <alignment horizontal="left"/>
    </xf>
    <xf numFmtId="0" fontId="81" fillId="15" borderId="0" xfId="0" applyFont="1" applyFill="1" applyAlignment="1">
      <alignment horizontal="center" vertical="center"/>
    </xf>
    <xf numFmtId="0" fontId="60" fillId="21" borderId="1" xfId="0" applyFont="1" applyFill="1" applyBorder="1" applyAlignment="1">
      <alignment horizontal="left"/>
    </xf>
    <xf numFmtId="0" fontId="58" fillId="18" borderId="1" xfId="0" applyFont="1" applyFill="1" applyBorder="1" applyAlignment="1">
      <alignment horizontal="left" vertical="center" wrapText="1"/>
    </xf>
    <xf numFmtId="0" fontId="60" fillId="18" borderId="1" xfId="0" applyFont="1" applyFill="1" applyBorder="1" applyAlignment="1">
      <alignment horizontal="left"/>
    </xf>
    <xf numFmtId="0" fontId="63" fillId="15" borderId="0" xfId="0" applyFont="1" applyFill="1" applyAlignment="1">
      <alignment horizontal="left" vertical="center" wrapText="1"/>
    </xf>
    <xf numFmtId="14" fontId="63" fillId="15" borderId="1" xfId="0" applyNumberFormat="1" applyFont="1" applyFill="1" applyBorder="1" applyAlignment="1">
      <alignment horizontal="left" vertical="center" wrapText="1"/>
    </xf>
    <xf numFmtId="0" fontId="63" fillId="15" borderId="1" xfId="0" applyFont="1" applyFill="1" applyBorder="1" applyAlignment="1">
      <alignment horizontal="left" vertical="center" wrapText="1"/>
    </xf>
    <xf numFmtId="0" fontId="81" fillId="15" borderId="0" xfId="0" applyFont="1" applyFill="1"/>
    <xf numFmtId="9" fontId="63" fillId="15" borderId="0" xfId="0" applyNumberFormat="1" applyFont="1" applyFill="1"/>
    <xf numFmtId="0" fontId="13" fillId="3" borderId="0" xfId="3" applyFont="1" applyFill="1" applyAlignment="1">
      <alignment horizontal="left" vertical="center" wrapText="1"/>
    </xf>
    <xf numFmtId="0" fontId="13" fillId="3" borderId="36" xfId="3" applyFont="1" applyFill="1" applyBorder="1" applyAlignment="1">
      <alignment vertical="center" wrapText="1"/>
    </xf>
    <xf numFmtId="0" fontId="13" fillId="3" borderId="0" xfId="3" applyFont="1" applyFill="1" applyAlignment="1">
      <alignment vertical="center" wrapText="1"/>
    </xf>
    <xf numFmtId="0" fontId="13" fillId="3" borderId="33" xfId="3" applyFont="1" applyFill="1" applyBorder="1" applyAlignment="1">
      <alignment vertical="center" wrapText="1"/>
    </xf>
    <xf numFmtId="0" fontId="13" fillId="3" borderId="34" xfId="3" applyFont="1" applyFill="1" applyBorder="1" applyAlignment="1">
      <alignment vertical="center" wrapText="1"/>
    </xf>
    <xf numFmtId="0" fontId="13" fillId="3" borderId="35" xfId="3" applyFont="1" applyFill="1" applyBorder="1" applyAlignment="1">
      <alignment vertical="center" wrapText="1"/>
    </xf>
    <xf numFmtId="0" fontId="13" fillId="3" borderId="37" xfId="3" applyFont="1" applyFill="1" applyBorder="1" applyAlignment="1">
      <alignment vertical="center" wrapText="1"/>
    </xf>
    <xf numFmtId="0" fontId="13" fillId="3" borderId="38" xfId="3" applyFont="1" applyFill="1" applyBorder="1" applyAlignment="1">
      <alignment vertical="center" wrapText="1"/>
    </xf>
    <xf numFmtId="0" fontId="13" fillId="3" borderId="39" xfId="3" applyFont="1" applyFill="1" applyBorder="1" applyAlignment="1">
      <alignment vertical="center" wrapText="1"/>
    </xf>
    <xf numFmtId="0" fontId="13" fillId="3" borderId="40" xfId="3" applyFont="1" applyFill="1" applyBorder="1" applyAlignment="1">
      <alignment vertical="center" wrapText="1"/>
    </xf>
    <xf numFmtId="0" fontId="13" fillId="3" borderId="0" xfId="3" applyFont="1" applyFill="1" applyAlignment="1">
      <alignment horizontal="center" vertical="center" wrapText="1"/>
    </xf>
    <xf numFmtId="0" fontId="13" fillId="0" borderId="0" xfId="3" applyFont="1"/>
    <xf numFmtId="0" fontId="13" fillId="3" borderId="0" xfId="3" applyFont="1" applyFill="1" applyAlignment="1">
      <alignment horizontal="right" vertical="center" wrapText="1"/>
    </xf>
    <xf numFmtId="0" fontId="83" fillId="0" borderId="0" xfId="0" applyFont="1"/>
    <xf numFmtId="0" fontId="84" fillId="0" borderId="0" xfId="0" applyFont="1" applyAlignment="1">
      <alignment horizontal="left" vertical="center" readingOrder="1"/>
    </xf>
    <xf numFmtId="0" fontId="58" fillId="0" borderId="33" xfId="0" applyFont="1" applyBorder="1" applyAlignment="1">
      <alignment horizontal="center" vertical="center"/>
    </xf>
    <xf numFmtId="0" fontId="58" fillId="0" borderId="34" xfId="0" applyFont="1" applyBorder="1" applyAlignment="1">
      <alignment horizontal="center" vertical="center"/>
    </xf>
    <xf numFmtId="0" fontId="58" fillId="0" borderId="35" xfId="0" applyFont="1" applyBorder="1" applyAlignment="1">
      <alignment horizontal="center" vertical="center"/>
    </xf>
    <xf numFmtId="0" fontId="36" fillId="15" borderId="1" xfId="0" applyFont="1" applyFill="1" applyBorder="1" applyAlignment="1">
      <alignment horizontal="center" vertical="center" wrapText="1"/>
    </xf>
    <xf numFmtId="0" fontId="61" fillId="17" borderId="1" xfId="0" applyFont="1" applyFill="1" applyBorder="1" applyAlignment="1">
      <alignment horizontal="left" vertical="center" wrapText="1"/>
    </xf>
    <xf numFmtId="0" fontId="61" fillId="17" borderId="1" xfId="0" applyFont="1" applyFill="1" applyBorder="1" applyAlignment="1">
      <alignment horizontal="left" vertical="center"/>
    </xf>
    <xf numFmtId="0" fontId="63" fillId="15" borderId="0" xfId="0" applyFont="1" applyFill="1" applyAlignment="1">
      <alignment horizontal="center" vertical="center" wrapText="1"/>
    </xf>
    <xf numFmtId="0" fontId="46" fillId="0" borderId="12" xfId="0" applyFont="1" applyBorder="1" applyAlignment="1">
      <alignment horizontal="center" vertical="center" wrapText="1"/>
    </xf>
    <xf numFmtId="0" fontId="46" fillId="0" borderId="31" xfId="0" applyFont="1" applyBorder="1" applyAlignment="1">
      <alignment horizontal="center" vertical="center" wrapText="1"/>
    </xf>
    <xf numFmtId="0" fontId="46" fillId="0" borderId="5" xfId="0" applyFont="1" applyBorder="1" applyAlignment="1">
      <alignment horizontal="center" vertical="center" wrapText="1"/>
    </xf>
    <xf numFmtId="0" fontId="46" fillId="0" borderId="46" xfId="0" applyFont="1" applyBorder="1" applyAlignment="1">
      <alignment horizontal="center" vertical="top" wrapText="1"/>
    </xf>
    <xf numFmtId="0" fontId="46" fillId="0" borderId="20" xfId="0" applyFont="1" applyBorder="1" applyAlignment="1">
      <alignment horizontal="center" vertical="top" wrapText="1"/>
    </xf>
    <xf numFmtId="0" fontId="46" fillId="0" borderId="9" xfId="0" applyFont="1" applyBorder="1" applyAlignment="1">
      <alignment horizontal="center" vertical="top" wrapText="1"/>
    </xf>
    <xf numFmtId="0" fontId="46" fillId="0" borderId="8" xfId="0" applyFont="1" applyBorder="1" applyAlignment="1">
      <alignment horizontal="center" vertical="top" wrapText="1"/>
    </xf>
    <xf numFmtId="0" fontId="46" fillId="0" borderId="47" xfId="0" applyFont="1" applyBorder="1" applyAlignment="1">
      <alignment horizontal="center" vertical="top" wrapText="1"/>
    </xf>
    <xf numFmtId="0" fontId="77" fillId="0" borderId="43" xfId="0" applyFont="1" applyBorder="1" applyAlignment="1">
      <alignment horizontal="center" vertical="center" wrapText="1"/>
    </xf>
    <xf numFmtId="0" fontId="77" fillId="0" borderId="35" xfId="0" applyFont="1" applyBorder="1" applyAlignment="1">
      <alignment horizontal="center" vertical="center" wrapText="1"/>
    </xf>
    <xf numFmtId="0" fontId="77" fillId="0" borderId="7" xfId="0" applyFont="1" applyBorder="1" applyAlignment="1">
      <alignment horizontal="center" vertical="center" wrapText="1"/>
    </xf>
    <xf numFmtId="0" fontId="77" fillId="0" borderId="37" xfId="0" applyFont="1" applyBorder="1" applyAlignment="1">
      <alignment horizontal="center" vertical="center" wrapText="1"/>
    </xf>
    <xf numFmtId="0" fontId="77" fillId="0" borderId="10" xfId="0" applyFont="1" applyBorder="1" applyAlignment="1">
      <alignment horizontal="center" vertical="center" wrapText="1"/>
    </xf>
    <xf numFmtId="0" fontId="77" fillId="0" borderId="44" xfId="0" applyFont="1" applyBorder="1" applyAlignment="1">
      <alignment horizontal="center" vertical="center" wrapText="1"/>
    </xf>
    <xf numFmtId="0" fontId="7" fillId="0" borderId="0" xfId="1" applyFont="1" applyAlignment="1">
      <alignment horizontal="left" vertical="top"/>
    </xf>
    <xf numFmtId="0" fontId="12" fillId="0" borderId="8" xfId="1" applyFont="1" applyBorder="1" applyAlignment="1">
      <alignment horizontal="left" wrapText="1"/>
    </xf>
    <xf numFmtId="0" fontId="2" fillId="0" borderId="20" xfId="1" applyBorder="1" applyAlignment="1">
      <alignment horizontal="left" wrapText="1"/>
    </xf>
    <xf numFmtId="0" fontId="2" fillId="0" borderId="9" xfId="1" applyBorder="1" applyAlignment="1">
      <alignment horizontal="left" wrapText="1"/>
    </xf>
    <xf numFmtId="0" fontId="2" fillId="0" borderId="7" xfId="1" applyBorder="1" applyAlignment="1">
      <alignment horizontal="left" wrapText="1"/>
    </xf>
    <xf numFmtId="0" fontId="2" fillId="0" borderId="0" xfId="1" applyAlignment="1">
      <alignment horizontal="left" wrapText="1"/>
    </xf>
    <xf numFmtId="0" fontId="2" fillId="0" borderId="6" xfId="1" applyBorder="1" applyAlignment="1">
      <alignment horizontal="left" wrapText="1"/>
    </xf>
    <xf numFmtId="0" fontId="2" fillId="0" borderId="10" xfId="1" applyBorder="1" applyAlignment="1">
      <alignment horizontal="left" wrapText="1"/>
    </xf>
    <xf numFmtId="0" fontId="2" fillId="0" borderId="13" xfId="1" applyBorder="1" applyAlignment="1">
      <alignment horizontal="left" wrapText="1"/>
    </xf>
    <xf numFmtId="0" fontId="2" fillId="0" borderId="11" xfId="1" applyBorder="1" applyAlignment="1">
      <alignment horizontal="left" wrapText="1"/>
    </xf>
    <xf numFmtId="0" fontId="2" fillId="0" borderId="0" xfId="1" applyAlignment="1">
      <alignment horizontal="center" vertical="top"/>
    </xf>
    <xf numFmtId="0" fontId="7" fillId="0" borderId="7" xfId="1" applyFont="1" applyBorder="1" applyAlignment="1">
      <alignment horizontal="left" wrapText="1"/>
    </xf>
    <xf numFmtId="0" fontId="6" fillId="0" borderId="6" xfId="1" applyFont="1" applyBorder="1" applyAlignment="1">
      <alignment horizontal="left" wrapText="1"/>
    </xf>
    <xf numFmtId="0" fontId="6" fillId="0" borderId="10" xfId="1" applyFont="1" applyBorder="1" applyAlignment="1">
      <alignment horizontal="left" wrapText="1"/>
    </xf>
    <xf numFmtId="0" fontId="6" fillId="0" borderId="11" xfId="1" applyFont="1" applyBorder="1" applyAlignment="1">
      <alignment horizontal="left" wrapText="1"/>
    </xf>
    <xf numFmtId="0" fontId="2" fillId="0" borderId="6" xfId="1" applyBorder="1" applyAlignment="1">
      <alignment horizontal="center" vertical="top"/>
    </xf>
    <xf numFmtId="0" fontId="9" fillId="0" borderId="0" xfId="1" applyFont="1" applyAlignment="1">
      <alignment horizontal="center" vertical="top"/>
    </xf>
    <xf numFmtId="0" fontId="6" fillId="0" borderId="0" xfId="1" applyFont="1" applyAlignment="1">
      <alignment horizontal="left" vertical="top"/>
    </xf>
    <xf numFmtId="0" fontId="10" fillId="0" borderId="0" xfId="1" applyFont="1" applyAlignment="1">
      <alignment horizontal="center" vertical="top"/>
    </xf>
    <xf numFmtId="0" fontId="32" fillId="0" borderId="0" xfId="1" applyFont="1" applyAlignment="1">
      <alignment horizontal="center" vertical="top"/>
    </xf>
    <xf numFmtId="0" fontId="12" fillId="0" borderId="0" xfId="1" applyFont="1" applyAlignment="1">
      <alignment horizontal="left" vertical="top"/>
    </xf>
    <xf numFmtId="0" fontId="2" fillId="0" borderId="0" xfId="1" applyAlignment="1">
      <alignment horizontal="left" vertical="top"/>
    </xf>
    <xf numFmtId="0" fontId="7" fillId="0" borderId="0" xfId="1" applyFont="1" applyAlignment="1">
      <alignment horizontal="center" vertical="top"/>
    </xf>
    <xf numFmtId="0" fontId="7" fillId="0" borderId="8" xfId="1" applyFont="1" applyBorder="1" applyAlignment="1">
      <alignment horizontal="left" vertical="top" wrapText="1"/>
    </xf>
    <xf numFmtId="0" fontId="7" fillId="0" borderId="20" xfId="1" applyFont="1" applyBorder="1" applyAlignment="1">
      <alignment horizontal="left" vertical="top" wrapText="1"/>
    </xf>
    <xf numFmtId="0" fontId="7" fillId="0" borderId="9" xfId="1" applyFont="1" applyBorder="1" applyAlignment="1">
      <alignment horizontal="left" vertical="top" wrapText="1"/>
    </xf>
    <xf numFmtId="0" fontId="7" fillId="0" borderId="7" xfId="1" applyFont="1" applyBorder="1" applyAlignment="1">
      <alignment horizontal="left" vertical="top" wrapText="1"/>
    </xf>
    <xf numFmtId="0" fontId="7" fillId="0" borderId="0" xfId="1" applyFont="1" applyAlignment="1">
      <alignment horizontal="left" vertical="top" wrapText="1"/>
    </xf>
    <xf numFmtId="0" fontId="7" fillId="0" borderId="6" xfId="1" applyFont="1" applyBorder="1" applyAlignment="1">
      <alignment horizontal="left" vertical="top" wrapText="1"/>
    </xf>
    <xf numFmtId="0" fontId="2" fillId="0" borderId="32" xfId="1" applyBorder="1" applyAlignment="1">
      <alignment horizontal="left" vertical="top" wrapText="1"/>
    </xf>
    <xf numFmtId="0" fontId="2" fillId="0" borderId="19" xfId="1" applyBorder="1" applyAlignment="1">
      <alignment horizontal="left" vertical="top" wrapText="1"/>
    </xf>
    <xf numFmtId="0" fontId="2" fillId="0" borderId="26" xfId="1" applyBorder="1" applyAlignment="1">
      <alignment horizontal="left" vertical="top" wrapText="1"/>
    </xf>
    <xf numFmtId="0" fontId="6" fillId="0" borderId="25" xfId="1" applyFont="1" applyBorder="1" applyAlignment="1">
      <alignment horizontal="left" vertical="top" wrapText="1"/>
    </xf>
    <xf numFmtId="0" fontId="6" fillId="0" borderId="19" xfId="1" applyFont="1" applyBorder="1" applyAlignment="1">
      <alignment horizontal="left" vertical="top" wrapText="1"/>
    </xf>
    <xf numFmtId="0" fontId="6" fillId="0" borderId="26" xfId="1" applyFont="1" applyBorder="1" applyAlignment="1">
      <alignment horizontal="left" vertical="top" wrapText="1"/>
    </xf>
    <xf numFmtId="0" fontId="6" fillId="0" borderId="54" xfId="1" applyFont="1" applyBorder="1" applyAlignment="1">
      <alignment horizontal="left" vertical="top" wrapText="1"/>
    </xf>
    <xf numFmtId="0" fontId="2" fillId="0" borderId="1" xfId="1" applyBorder="1" applyAlignment="1">
      <alignment horizontal="left" vertical="top" wrapText="1"/>
    </xf>
    <xf numFmtId="0" fontId="2" fillId="0" borderId="15" xfId="1" applyBorder="1" applyAlignment="1">
      <alignment horizontal="left" vertical="top" wrapText="1"/>
    </xf>
    <xf numFmtId="0" fontId="2" fillId="0" borderId="18" xfId="1" applyBorder="1" applyAlignment="1">
      <alignment horizontal="left" vertical="top" wrapText="1"/>
    </xf>
    <xf numFmtId="0" fontId="2" fillId="0" borderId="16" xfId="1" applyBorder="1" applyAlignment="1">
      <alignment horizontal="left" vertical="top" wrapText="1"/>
    </xf>
    <xf numFmtId="0" fontId="2" fillId="0" borderId="25" xfId="1" applyBorder="1" applyAlignment="1">
      <alignment horizontal="left" vertical="top" wrapText="1"/>
    </xf>
    <xf numFmtId="170" fontId="2" fillId="0" borderId="15" xfId="1" applyNumberFormat="1" applyBorder="1" applyAlignment="1">
      <alignment horizontal="left" vertical="top" wrapText="1"/>
    </xf>
    <xf numFmtId="0" fontId="2" fillId="0" borderId="22" xfId="1" applyBorder="1" applyAlignment="1">
      <alignment horizontal="left" vertical="top" wrapText="1"/>
    </xf>
    <xf numFmtId="0" fontId="2" fillId="0" borderId="14" xfId="1" applyBorder="1" applyAlignment="1">
      <alignment horizontal="left" vertical="top" wrapText="1"/>
    </xf>
    <xf numFmtId="0" fontId="2" fillId="0" borderId="23" xfId="1" applyBorder="1" applyAlignment="1">
      <alignment horizontal="left" vertical="top" wrapText="1"/>
    </xf>
    <xf numFmtId="165" fontId="11" fillId="0" borderId="15" xfId="1" applyNumberFormat="1" applyFont="1" applyBorder="1" applyAlignment="1">
      <alignment horizontal="center" vertical="top" wrapText="1"/>
    </xf>
    <xf numFmtId="165" fontId="11" fillId="0" borderId="18" xfId="1" applyNumberFormat="1" applyFont="1" applyBorder="1" applyAlignment="1">
      <alignment horizontal="center" vertical="top" wrapText="1"/>
    </xf>
    <xf numFmtId="165" fontId="11" fillId="0" borderId="16" xfId="1" applyNumberFormat="1" applyFont="1" applyBorder="1" applyAlignment="1">
      <alignment horizontal="center" vertical="top" wrapText="1"/>
    </xf>
    <xf numFmtId="170" fontId="2" fillId="0" borderId="16" xfId="1" applyNumberFormat="1" applyBorder="1" applyAlignment="1">
      <alignment horizontal="left" vertical="top" wrapText="1"/>
    </xf>
    <xf numFmtId="0" fontId="6" fillId="0" borderId="0" xfId="1" applyFont="1" applyAlignment="1">
      <alignment horizontal="center" vertical="top"/>
    </xf>
    <xf numFmtId="0" fontId="2" fillId="0" borderId="2" xfId="1" applyBorder="1" applyAlignment="1">
      <alignment horizontal="left" vertical="top" wrapText="1"/>
    </xf>
    <xf numFmtId="0" fontId="2" fillId="0" borderId="4" xfId="1" applyBorder="1" applyAlignment="1">
      <alignment horizontal="left" vertical="top" wrapText="1"/>
    </xf>
    <xf numFmtId="0" fontId="2" fillId="0" borderId="3" xfId="1" applyBorder="1" applyAlignment="1">
      <alignment horizontal="left" vertical="top" wrapText="1"/>
    </xf>
    <xf numFmtId="0" fontId="6" fillId="0" borderId="22" xfId="1" applyFont="1" applyBorder="1" applyAlignment="1">
      <alignment horizontal="left" vertical="top" wrapText="1"/>
    </xf>
    <xf numFmtId="0" fontId="6" fillId="0" borderId="14" xfId="1" applyFont="1" applyBorder="1" applyAlignment="1">
      <alignment horizontal="left" vertical="top" wrapText="1"/>
    </xf>
    <xf numFmtId="0" fontId="6" fillId="0" borderId="23" xfId="1" applyFont="1" applyBorder="1" applyAlignment="1">
      <alignment horizontal="left" vertical="top" wrapText="1"/>
    </xf>
    <xf numFmtId="0" fontId="6" fillId="0" borderId="22" xfId="1" applyFont="1" applyBorder="1" applyAlignment="1">
      <alignment horizontal="center" vertical="top" wrapText="1"/>
    </xf>
    <xf numFmtId="0" fontId="6" fillId="0" borderId="23" xfId="1" applyFont="1" applyBorder="1" applyAlignment="1">
      <alignment horizontal="center" vertical="top" wrapText="1"/>
    </xf>
    <xf numFmtId="9" fontId="2" fillId="0" borderId="15" xfId="1" applyNumberFormat="1" applyBorder="1" applyAlignment="1">
      <alignment horizontal="left" vertical="top" wrapText="1"/>
    </xf>
    <xf numFmtId="0" fontId="7" fillId="0" borderId="19" xfId="1" applyFont="1" applyBorder="1" applyAlignment="1">
      <alignment horizontal="left" vertical="top" wrapText="1"/>
    </xf>
    <xf numFmtId="0" fontId="2" fillId="0" borderId="8" xfId="1" applyBorder="1" applyAlignment="1">
      <alignment horizontal="center" vertical="top"/>
    </xf>
    <xf numFmtId="0" fontId="12" fillId="0" borderId="20" xfId="1" applyFont="1" applyBorder="1" applyAlignment="1">
      <alignment horizontal="center" vertical="top"/>
    </xf>
    <xf numFmtId="0" fontId="12" fillId="0" borderId="9" xfId="1" applyFont="1" applyBorder="1" applyAlignment="1">
      <alignment horizontal="center" vertical="top"/>
    </xf>
    <xf numFmtId="0" fontId="12" fillId="0" borderId="7" xfId="1" applyFont="1" applyBorder="1" applyAlignment="1">
      <alignment horizontal="center" vertical="top"/>
    </xf>
    <xf numFmtId="0" fontId="12" fillId="0" borderId="0" xfId="1" applyFont="1" applyAlignment="1">
      <alignment horizontal="center" vertical="top"/>
    </xf>
    <xf numFmtId="0" fontId="12" fillId="0" borderId="6" xfId="1" applyFont="1" applyBorder="1" applyAlignment="1">
      <alignment horizontal="center" vertical="top"/>
    </xf>
    <xf numFmtId="0" fontId="12" fillId="0" borderId="10" xfId="1" applyFont="1" applyBorder="1" applyAlignment="1">
      <alignment horizontal="center" vertical="top"/>
    </xf>
    <xf numFmtId="0" fontId="12" fillId="0" borderId="13" xfId="1" applyFont="1" applyBorder="1" applyAlignment="1">
      <alignment horizontal="center" vertical="top"/>
    </xf>
    <xf numFmtId="0" fontId="12" fillId="0" borderId="11" xfId="1" applyFont="1" applyBorder="1" applyAlignment="1">
      <alignment horizontal="center" vertical="top"/>
    </xf>
    <xf numFmtId="0" fontId="7" fillId="0" borderId="1" xfId="1" applyFont="1" applyBorder="1" applyAlignment="1">
      <alignment horizontal="left" vertical="top"/>
    </xf>
    <xf numFmtId="0" fontId="2" fillId="0" borderId="1" xfId="1" applyBorder="1" applyAlignment="1">
      <alignment horizontal="left" vertical="top"/>
    </xf>
    <xf numFmtId="1" fontId="2" fillId="0" borderId="1" xfId="1" applyNumberFormat="1" applyBorder="1" applyAlignment="1">
      <alignment horizontal="center" vertical="top"/>
    </xf>
    <xf numFmtId="0" fontId="2" fillId="0" borderId="1" xfId="1" applyBorder="1" applyAlignment="1">
      <alignment horizontal="center" vertical="top"/>
    </xf>
    <xf numFmtId="0" fontId="2" fillId="0" borderId="14" xfId="1" applyBorder="1" applyAlignment="1">
      <alignment horizontal="center" vertical="top" wrapText="1"/>
    </xf>
    <xf numFmtId="0" fontId="2" fillId="0" borderId="15" xfId="1" applyBorder="1" applyAlignment="1">
      <alignment horizontal="center" vertical="top" wrapText="1"/>
    </xf>
    <xf numFmtId="0" fontId="2" fillId="0" borderId="16" xfId="1" applyBorder="1" applyAlignment="1">
      <alignment horizontal="center" vertical="top" wrapText="1"/>
    </xf>
    <xf numFmtId="0" fontId="2" fillId="0" borderId="18" xfId="1" applyBorder="1" applyAlignment="1">
      <alignment horizontal="center" vertical="top" wrapText="1"/>
    </xf>
    <xf numFmtId="164" fontId="11" fillId="0" borderId="15" xfId="1" applyNumberFormat="1" applyFont="1" applyBorder="1" applyAlignment="1">
      <alignment horizontal="center" vertical="top" wrapText="1"/>
    </xf>
    <xf numFmtId="164" fontId="11" fillId="0" borderId="16" xfId="1" applyNumberFormat="1" applyFont="1" applyBorder="1" applyAlignment="1">
      <alignment horizontal="center" vertical="top" wrapText="1"/>
    </xf>
    <xf numFmtId="164" fontId="11" fillId="0" borderId="18" xfId="1" applyNumberFormat="1" applyFont="1" applyBorder="1" applyAlignment="1">
      <alignment horizontal="center" vertical="top" wrapText="1"/>
    </xf>
    <xf numFmtId="173" fontId="2" fillId="0" borderId="1" xfId="1" applyNumberFormat="1" applyBorder="1" applyAlignment="1">
      <alignment horizontal="center" vertical="top"/>
    </xf>
    <xf numFmtId="0" fontId="4" fillId="0" borderId="0" xfId="1" applyFont="1" applyAlignment="1">
      <alignment horizontal="right" vertical="top"/>
    </xf>
    <xf numFmtId="0" fontId="4" fillId="0" borderId="0" xfId="1" applyFont="1" applyAlignment="1">
      <alignment horizontal="center" vertical="top"/>
    </xf>
    <xf numFmtId="0" fontId="2" fillId="0" borderId="1" xfId="1" applyBorder="1" applyAlignment="1">
      <alignment horizontal="center" vertical="top" wrapText="1"/>
    </xf>
    <xf numFmtId="170" fontId="2" fillId="0" borderId="8" xfId="1" applyNumberFormat="1" applyBorder="1" applyAlignment="1">
      <alignment horizontal="left" vertical="top" wrapText="1"/>
    </xf>
    <xf numFmtId="170" fontId="2" fillId="0" borderId="20" xfId="1" applyNumberFormat="1" applyBorder="1" applyAlignment="1">
      <alignment horizontal="left" vertical="top" wrapText="1"/>
    </xf>
    <xf numFmtId="170" fontId="2" fillId="0" borderId="9" xfId="1" applyNumberFormat="1" applyBorder="1" applyAlignment="1">
      <alignment horizontal="left" vertical="top" wrapText="1"/>
    </xf>
    <xf numFmtId="170" fontId="2" fillId="0" borderId="10" xfId="1" applyNumberFormat="1" applyBorder="1" applyAlignment="1">
      <alignment horizontal="left" vertical="top" wrapText="1"/>
    </xf>
    <xf numFmtId="170" fontId="2" fillId="0" borderId="13" xfId="1" applyNumberFormat="1" applyBorder="1" applyAlignment="1">
      <alignment horizontal="left" vertical="top" wrapText="1"/>
    </xf>
    <xf numFmtId="170" fontId="2" fillId="0" borderId="11" xfId="1" applyNumberFormat="1" applyBorder="1" applyAlignment="1">
      <alignment horizontal="left" vertical="top" wrapText="1"/>
    </xf>
    <xf numFmtId="0" fontId="2" fillId="0" borderId="8" xfId="1" applyBorder="1" applyAlignment="1">
      <alignment horizontal="left" vertical="top" wrapText="1"/>
    </xf>
    <xf numFmtId="0" fontId="2" fillId="0" borderId="9" xfId="1" applyBorder="1" applyAlignment="1">
      <alignment horizontal="left" vertical="top" wrapText="1"/>
    </xf>
    <xf numFmtId="0" fontId="2" fillId="0" borderId="10" xfId="1" applyBorder="1" applyAlignment="1">
      <alignment horizontal="left" vertical="top" wrapText="1"/>
    </xf>
    <xf numFmtId="0" fontId="2" fillId="0" borderId="11" xfId="1" applyBorder="1" applyAlignment="1">
      <alignment horizontal="left" vertical="top" wrapText="1"/>
    </xf>
    <xf numFmtId="0" fontId="2" fillId="0" borderId="8" xfId="1" applyBorder="1" applyAlignment="1">
      <alignment horizontal="center" vertical="top" wrapText="1"/>
    </xf>
    <xf numFmtId="0" fontId="2" fillId="0" borderId="20" xfId="1" applyBorder="1" applyAlignment="1">
      <alignment horizontal="center" vertical="top" wrapText="1"/>
    </xf>
    <xf numFmtId="0" fontId="2" fillId="0" borderId="9" xfId="1" applyBorder="1" applyAlignment="1">
      <alignment horizontal="center" vertical="top" wrapText="1"/>
    </xf>
    <xf numFmtId="0" fontId="2" fillId="0" borderId="10" xfId="1" applyBorder="1" applyAlignment="1">
      <alignment horizontal="center" vertical="top" wrapText="1"/>
    </xf>
    <xf numFmtId="0" fontId="2" fillId="0" borderId="13" xfId="1" applyBorder="1" applyAlignment="1">
      <alignment horizontal="center" vertical="top" wrapText="1"/>
    </xf>
    <xf numFmtId="0" fontId="2" fillId="0" borderId="11" xfId="1" applyBorder="1" applyAlignment="1">
      <alignment horizontal="center" vertical="top" wrapText="1"/>
    </xf>
    <xf numFmtId="0" fontId="9" fillId="0" borderId="1" xfId="1" applyFont="1" applyBorder="1" applyAlignment="1">
      <alignment horizontal="center" vertical="top"/>
    </xf>
    <xf numFmtId="0" fontId="30" fillId="0" borderId="0" xfId="0" applyFont="1" applyAlignment="1">
      <alignment horizontal="left"/>
    </xf>
    <xf numFmtId="0" fontId="30" fillId="0" borderId="0" xfId="0" applyFont="1" applyAlignment="1">
      <alignment horizontal="left" vertical="top" wrapText="1"/>
    </xf>
    <xf numFmtId="0" fontId="47" fillId="0" borderId="0" xfId="0" applyFont="1" applyAlignment="1">
      <alignment horizontal="left" wrapText="1"/>
    </xf>
    <xf numFmtId="0" fontId="30" fillId="0" borderId="0" xfId="0" applyFont="1" applyAlignment="1">
      <alignment horizontal="left" wrapText="1"/>
    </xf>
    <xf numFmtId="0" fontId="30" fillId="0" borderId="1" xfId="0" applyFont="1" applyBorder="1" applyAlignment="1">
      <alignment vertical="top" wrapText="1"/>
    </xf>
    <xf numFmtId="0" fontId="30" fillId="0" borderId="2" xfId="0" quotePrefix="1" applyFont="1" applyBorder="1" applyAlignment="1">
      <alignment horizontal="center"/>
    </xf>
    <xf numFmtId="0" fontId="30" fillId="0" borderId="3" xfId="0" quotePrefix="1" applyFont="1" applyBorder="1" applyAlignment="1">
      <alignment horizontal="center"/>
    </xf>
    <xf numFmtId="0" fontId="30" fillId="0" borderId="1" xfId="0" applyFont="1" applyBorder="1" applyAlignment="1">
      <alignment horizontal="left"/>
    </xf>
    <xf numFmtId="0" fontId="30" fillId="0" borderId="0" xfId="0" applyFont="1" applyAlignment="1">
      <alignment horizontal="center"/>
    </xf>
    <xf numFmtId="0" fontId="30" fillId="0" borderId="12" xfId="0" applyFont="1" applyBorder="1" applyAlignment="1">
      <alignment horizontal="left" vertical="top" wrapText="1"/>
    </xf>
    <xf numFmtId="0" fontId="30" fillId="0" borderId="31" xfId="0" applyFont="1" applyBorder="1" applyAlignment="1">
      <alignment horizontal="left" vertical="top" wrapText="1"/>
    </xf>
    <xf numFmtId="0" fontId="30" fillId="0" borderId="5" xfId="0" applyFont="1" applyBorder="1" applyAlignment="1">
      <alignment horizontal="left" vertical="top" wrapText="1"/>
    </xf>
    <xf numFmtId="0" fontId="69" fillId="0" borderId="0" xfId="0" applyFont="1" applyAlignment="1">
      <alignment horizontal="center"/>
    </xf>
    <xf numFmtId="0" fontId="69" fillId="0" borderId="0" xfId="0" applyFont="1" applyAlignment="1">
      <alignment horizontal="left"/>
    </xf>
    <xf numFmtId="0" fontId="30" fillId="0" borderId="13" xfId="0" applyFont="1" applyBorder="1" applyAlignment="1">
      <alignment horizontal="left" vertical="center" wrapText="1"/>
    </xf>
    <xf numFmtId="0" fontId="31" fillId="0" borderId="0" xfId="0" applyFont="1" applyAlignment="1">
      <alignment horizontal="center"/>
    </xf>
    <xf numFmtId="173" fontId="30" fillId="0" borderId="1" xfId="0" applyNumberFormat="1" applyFont="1" applyBorder="1" applyAlignment="1">
      <alignment horizontal="left"/>
    </xf>
    <xf numFmtId="0" fontId="30" fillId="0" borderId="12" xfId="0" applyFont="1" applyBorder="1" applyAlignment="1">
      <alignment horizontal="center"/>
    </xf>
    <xf numFmtId="0" fontId="7" fillId="0" borderId="0" xfId="437" applyFont="1" applyAlignment="1">
      <alignment horizontal="left" vertical="top"/>
    </xf>
    <xf numFmtId="0" fontId="7" fillId="0" borderId="0" xfId="437" applyFont="1" applyAlignment="1">
      <alignment horizontal="left" vertical="top" wrapText="1"/>
    </xf>
    <xf numFmtId="0" fontId="7" fillId="0" borderId="0" xfId="437" applyFont="1" applyAlignment="1">
      <alignment horizontal="center"/>
    </xf>
    <xf numFmtId="0" fontId="48" fillId="0" borderId="0" xfId="437" applyFont="1" applyAlignment="1">
      <alignment horizontal="center" vertical="top"/>
    </xf>
    <xf numFmtId="0" fontId="19" fillId="0" borderId="0" xfId="437" applyFont="1" applyAlignment="1">
      <alignment horizontal="left" vertical="top"/>
    </xf>
    <xf numFmtId="0" fontId="7" fillId="0" borderId="2" xfId="437" applyFont="1" applyBorder="1" applyAlignment="1">
      <alignment horizontal="left" vertical="top"/>
    </xf>
    <xf numFmtId="0" fontId="7" fillId="0" borderId="4" xfId="437" applyFont="1" applyBorder="1" applyAlignment="1">
      <alignment horizontal="left" vertical="top"/>
    </xf>
    <xf numFmtId="0" fontId="7" fillId="0" borderId="3" xfId="437" applyFont="1" applyBorder="1" applyAlignment="1">
      <alignment horizontal="left" vertical="top"/>
    </xf>
    <xf numFmtId="14" fontId="12" fillId="0" borderId="2" xfId="437" applyNumberFormat="1" applyBorder="1" applyAlignment="1">
      <alignment horizontal="center" vertical="top"/>
    </xf>
    <xf numFmtId="14" fontId="12" fillId="0" borderId="4" xfId="437" applyNumberFormat="1" applyBorder="1" applyAlignment="1">
      <alignment horizontal="center" vertical="top"/>
    </xf>
    <xf numFmtId="14" fontId="12" fillId="0" borderId="3" xfId="437" applyNumberFormat="1" applyBorder="1" applyAlignment="1">
      <alignment horizontal="center" vertical="top"/>
    </xf>
    <xf numFmtId="1" fontId="12" fillId="0" borderId="2" xfId="437" applyNumberFormat="1" applyBorder="1" applyAlignment="1">
      <alignment horizontal="center" vertical="top"/>
    </xf>
    <xf numFmtId="1" fontId="12" fillId="0" borderId="4" xfId="437" applyNumberFormat="1" applyBorder="1" applyAlignment="1">
      <alignment horizontal="center" vertical="top"/>
    </xf>
    <xf numFmtId="1" fontId="12" fillId="0" borderId="3" xfId="437" applyNumberFormat="1" applyBorder="1" applyAlignment="1">
      <alignment horizontal="center" vertical="top"/>
    </xf>
    <xf numFmtId="0" fontId="7" fillId="0" borderId="1" xfId="437" applyFont="1" applyBorder="1" applyAlignment="1">
      <alignment horizontal="left" vertical="top"/>
    </xf>
    <xf numFmtId="0" fontId="12" fillId="0" borderId="12" xfId="437" applyBorder="1" applyAlignment="1">
      <alignment horizontal="center" vertical="top"/>
    </xf>
    <xf numFmtId="0" fontId="12" fillId="0" borderId="31" xfId="437" applyBorder="1" applyAlignment="1">
      <alignment horizontal="center" vertical="top"/>
    </xf>
    <xf numFmtId="0" fontId="12" fillId="0" borderId="5" xfId="437" applyBorder="1" applyAlignment="1">
      <alignment horizontal="center" vertical="top"/>
    </xf>
    <xf numFmtId="0" fontId="12" fillId="0" borderId="1" xfId="437" applyBorder="1" applyAlignment="1">
      <alignment horizontal="center" vertical="top"/>
    </xf>
    <xf numFmtId="14" fontId="32" fillId="0" borderId="2" xfId="437" applyNumberFormat="1" applyFont="1" applyBorder="1" applyAlignment="1">
      <alignment horizontal="center" vertical="top"/>
    </xf>
    <xf numFmtId="14" fontId="32" fillId="0" borderId="4" xfId="437" applyNumberFormat="1" applyFont="1" applyBorder="1" applyAlignment="1">
      <alignment horizontal="center" vertical="top"/>
    </xf>
    <xf numFmtId="14" fontId="32" fillId="0" borderId="3" xfId="437" applyNumberFormat="1" applyFont="1" applyBorder="1" applyAlignment="1">
      <alignment horizontal="center" vertical="top"/>
    </xf>
    <xf numFmtId="0" fontId="7" fillId="0" borderId="2" xfId="437" applyFont="1" applyBorder="1" applyAlignment="1">
      <alignment vertical="top"/>
    </xf>
    <xf numFmtId="0" fontId="7" fillId="0" borderId="4" xfId="437" applyFont="1" applyBorder="1" applyAlignment="1">
      <alignment vertical="top"/>
    </xf>
    <xf numFmtId="0" fontId="7" fillId="0" borderId="3" xfId="437" applyFont="1" applyBorder="1" applyAlignment="1">
      <alignment vertical="top"/>
    </xf>
    <xf numFmtId="0" fontId="12" fillId="0" borderId="12" xfId="437" applyBorder="1" applyAlignment="1">
      <alignment horizontal="left" vertical="center"/>
    </xf>
    <xf numFmtId="0" fontId="12" fillId="0" borderId="31" xfId="437" applyBorder="1" applyAlignment="1">
      <alignment horizontal="left" vertical="center"/>
    </xf>
    <xf numFmtId="0" fontId="12" fillId="0" borderId="5" xfId="437" applyBorder="1" applyAlignment="1">
      <alignment horizontal="left" vertical="center"/>
    </xf>
    <xf numFmtId="0" fontId="10" fillId="0" borderId="2" xfId="437" applyFont="1" applyBorder="1" applyAlignment="1">
      <alignment vertical="top"/>
    </xf>
    <xf numFmtId="0" fontId="10" fillId="0" borderId="4" xfId="437" applyFont="1" applyBorder="1" applyAlignment="1">
      <alignment vertical="top"/>
    </xf>
    <xf numFmtId="0" fontId="10" fillId="0" borderId="3" xfId="437" applyFont="1" applyBorder="1" applyAlignment="1">
      <alignment vertical="top"/>
    </xf>
    <xf numFmtId="170" fontId="12" fillId="0" borderId="2" xfId="437" applyNumberFormat="1" applyBorder="1" applyAlignment="1">
      <alignment horizontal="center" vertical="top"/>
    </xf>
    <xf numFmtId="170" fontId="12" fillId="0" borderId="4" xfId="437" applyNumberFormat="1" applyBorder="1" applyAlignment="1">
      <alignment horizontal="center" vertical="top"/>
    </xf>
    <xf numFmtId="170" fontId="12" fillId="0" borderId="3" xfId="437" applyNumberFormat="1" applyBorder="1" applyAlignment="1">
      <alignment horizontal="center" vertical="top"/>
    </xf>
    <xf numFmtId="0" fontId="5" fillId="0" borderId="0" xfId="437" applyFont="1" applyAlignment="1">
      <alignment horizontal="center" vertical="top"/>
    </xf>
    <xf numFmtId="0" fontId="7" fillId="0" borderId="0" xfId="437" applyFont="1" applyAlignment="1">
      <alignment horizontal="center" vertical="top"/>
    </xf>
    <xf numFmtId="0" fontId="12" fillId="0" borderId="12" xfId="437" applyBorder="1" applyAlignment="1">
      <alignment horizontal="left" vertical="top"/>
    </xf>
    <xf numFmtId="0" fontId="12" fillId="0" borderId="5" xfId="437" applyBorder="1" applyAlignment="1">
      <alignment horizontal="left" vertical="top"/>
    </xf>
    <xf numFmtId="0" fontId="12" fillId="0" borderId="2" xfId="437" applyBorder="1" applyAlignment="1">
      <alignment horizontal="center" vertical="top"/>
    </xf>
    <xf numFmtId="0" fontId="12" fillId="0" borderId="4" xfId="437" applyBorder="1" applyAlignment="1">
      <alignment horizontal="center" vertical="top"/>
    </xf>
    <xf numFmtId="0" fontId="12" fillId="0" borderId="3" xfId="437" applyBorder="1" applyAlignment="1">
      <alignment horizontal="center" vertical="top"/>
    </xf>
    <xf numFmtId="0" fontId="12" fillId="0" borderId="0" xfId="437" applyAlignment="1">
      <alignment horizontal="center" vertical="top"/>
    </xf>
    <xf numFmtId="0" fontId="52" fillId="0" borderId="0" xfId="0" applyFont="1" applyAlignment="1">
      <alignment horizontal="center"/>
    </xf>
    <xf numFmtId="0" fontId="55" fillId="0" borderId="0" xfId="0" applyFont="1" applyAlignment="1">
      <alignment horizontal="left" wrapText="1"/>
    </xf>
    <xf numFmtId="0" fontId="55" fillId="0" borderId="0" xfId="0" applyFont="1" applyAlignment="1">
      <alignment horizontal="left"/>
    </xf>
    <xf numFmtId="0" fontId="12" fillId="0" borderId="1" xfId="437" applyBorder="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7" fillId="0" borderId="1" xfId="437" applyFont="1" applyBorder="1" applyAlignment="1">
      <alignment horizontal="left" vertical="top" wrapText="1"/>
    </xf>
    <xf numFmtId="173" fontId="12" fillId="0" borderId="2" xfId="437" applyNumberFormat="1" applyBorder="1" applyAlignment="1">
      <alignment horizontal="center" vertical="top"/>
    </xf>
    <xf numFmtId="173" fontId="12" fillId="0" borderId="4" xfId="437" applyNumberFormat="1" applyBorder="1" applyAlignment="1">
      <alignment horizontal="center" vertical="top"/>
    </xf>
    <xf numFmtId="173" fontId="12" fillId="0" borderId="3" xfId="437" applyNumberFormat="1" applyBorder="1" applyAlignment="1">
      <alignment horizontal="center" vertical="top"/>
    </xf>
    <xf numFmtId="0" fontId="15" fillId="0" borderId="0" xfId="2" applyFont="1" applyAlignment="1">
      <alignment horizontal="center"/>
    </xf>
    <xf numFmtId="0" fontId="14" fillId="0" borderId="0" xfId="2" applyFont="1" applyAlignment="1">
      <alignment horizontal="left" wrapText="1"/>
    </xf>
    <xf numFmtId="0" fontId="3" fillId="0" borderId="0" xfId="2" applyAlignment="1">
      <alignment wrapText="1"/>
    </xf>
    <xf numFmtId="0" fontId="14" fillId="0" borderId="0" xfId="2" applyFont="1" applyAlignment="1">
      <alignment horizontal="center" wrapText="1"/>
    </xf>
    <xf numFmtId="0" fontId="3" fillId="0" borderId="0" xfId="2" applyAlignment="1">
      <alignment horizontal="center"/>
    </xf>
    <xf numFmtId="0" fontId="13" fillId="0" borderId="0" xfId="2" applyFont="1" applyAlignment="1">
      <alignment horizontal="center"/>
    </xf>
    <xf numFmtId="0" fontId="14" fillId="0" borderId="0" xfId="2" applyFont="1" applyAlignment="1">
      <alignment horizontal="center"/>
    </xf>
    <xf numFmtId="0" fontId="13" fillId="0" borderId="0" xfId="2" applyFont="1" applyAlignment="1">
      <alignment horizontal="left" vertical="top" wrapText="1"/>
    </xf>
    <xf numFmtId="0" fontId="14" fillId="0" borderId="0" xfId="2" applyFont="1" applyAlignment="1">
      <alignment horizontal="left" vertical="top" wrapText="1"/>
    </xf>
    <xf numFmtId="0" fontId="14" fillId="0" borderId="0" xfId="2" applyFont="1" applyAlignment="1">
      <alignment wrapText="1"/>
    </xf>
    <xf numFmtId="0" fontId="14" fillId="0" borderId="0" xfId="2" applyFont="1" applyAlignment="1">
      <alignment horizontal="right" vertical="top"/>
    </xf>
    <xf numFmtId="0" fontId="14" fillId="0" borderId="12" xfId="2" applyFont="1" applyBorder="1" applyAlignment="1">
      <alignment horizontal="left" vertical="top" wrapText="1"/>
    </xf>
    <xf numFmtId="0" fontId="14" fillId="0" borderId="5" xfId="2" applyFont="1" applyBorder="1" applyAlignment="1">
      <alignment horizontal="left" vertical="top" wrapText="1"/>
    </xf>
    <xf numFmtId="0" fontId="3" fillId="0" borderId="0" xfId="2" applyAlignment="1">
      <alignment horizontal="left" vertical="top" wrapText="1"/>
    </xf>
    <xf numFmtId="0" fontId="25" fillId="0" borderId="1" xfId="1" applyFont="1" applyBorder="1" applyAlignment="1">
      <alignment horizontal="center" vertical="top"/>
    </xf>
    <xf numFmtId="0" fontId="25" fillId="0" borderId="1" xfId="1" applyFont="1" applyBorder="1" applyAlignment="1">
      <alignment horizontal="center" vertical="top" wrapText="1"/>
    </xf>
    <xf numFmtId="0" fontId="25" fillId="0" borderId="2" xfId="1" applyFont="1" applyBorder="1" applyAlignment="1">
      <alignment horizontal="center" vertical="top" wrapText="1"/>
    </xf>
    <xf numFmtId="0" fontId="25" fillId="0" borderId="4" xfId="1" applyFont="1" applyBorder="1" applyAlignment="1">
      <alignment horizontal="center" vertical="top" wrapText="1"/>
    </xf>
    <xf numFmtId="0" fontId="25" fillId="0" borderId="3" xfId="1" applyFont="1" applyBorder="1" applyAlignment="1">
      <alignment horizontal="center" vertical="top" wrapText="1"/>
    </xf>
    <xf numFmtId="0" fontId="25" fillId="0" borderId="18" xfId="1" applyFont="1" applyBorder="1" applyAlignment="1">
      <alignment horizontal="left" vertical="top" wrapText="1"/>
    </xf>
    <xf numFmtId="0" fontId="25" fillId="0" borderId="16" xfId="1" applyFont="1" applyBorder="1" applyAlignment="1">
      <alignment horizontal="left" vertical="top" wrapText="1"/>
    </xf>
    <xf numFmtId="0" fontId="25" fillId="0" borderId="15" xfId="1" applyFont="1" applyBorder="1" applyAlignment="1">
      <alignment horizontal="left" vertical="top" wrapText="1"/>
    </xf>
    <xf numFmtId="0" fontId="24" fillId="0" borderId="25" xfId="1" applyFont="1" applyBorder="1" applyAlignment="1">
      <alignment horizontal="left" vertical="top" wrapText="1"/>
    </xf>
    <xf numFmtId="0" fontId="24" fillId="0" borderId="19" xfId="1" applyFont="1" applyBorder="1" applyAlignment="1">
      <alignment horizontal="left" vertical="top" wrapText="1"/>
    </xf>
    <xf numFmtId="0" fontId="24" fillId="0" borderId="14" xfId="1" applyFont="1" applyBorder="1" applyAlignment="1">
      <alignment horizontal="left" vertical="top" wrapText="1"/>
    </xf>
    <xf numFmtId="0" fontId="24" fillId="0" borderId="23" xfId="1" applyFont="1" applyBorder="1" applyAlignment="1">
      <alignment horizontal="left" vertical="top" wrapText="1"/>
    </xf>
    <xf numFmtId="0" fontId="24" fillId="0" borderId="22" xfId="1" applyFont="1" applyBorder="1" applyAlignment="1">
      <alignment horizontal="left" vertical="top" wrapText="1"/>
    </xf>
    <xf numFmtId="0" fontId="25" fillId="0" borderId="1" xfId="1" applyFont="1" applyBorder="1" applyAlignment="1">
      <alignment horizontal="left" vertical="top"/>
    </xf>
    <xf numFmtId="0" fontId="25" fillId="0" borderId="20" xfId="1" applyFont="1" applyBorder="1" applyAlignment="1">
      <alignment horizontal="center"/>
    </xf>
    <xf numFmtId="0" fontId="28" fillId="0" borderId="0" xfId="1" applyFont="1" applyAlignment="1">
      <alignment horizontal="center" vertical="center"/>
    </xf>
    <xf numFmtId="0" fontId="24" fillId="0" borderId="0" xfId="1" applyFont="1" applyAlignment="1">
      <alignment horizontal="left" vertical="top"/>
    </xf>
    <xf numFmtId="0" fontId="25" fillId="0" borderId="0" xfId="1" applyFont="1" applyAlignment="1">
      <alignment horizontal="left" vertical="top"/>
    </xf>
    <xf numFmtId="0" fontId="21" fillId="0" borderId="1" xfId="1" applyFont="1" applyBorder="1" applyAlignment="1">
      <alignment horizontal="center"/>
    </xf>
    <xf numFmtId="0" fontId="28" fillId="0" borderId="1" xfId="1" applyFont="1" applyBorder="1" applyAlignment="1">
      <alignment horizontal="center"/>
    </xf>
    <xf numFmtId="0" fontId="25" fillId="0" borderId="0" xfId="1" applyFont="1" applyAlignment="1">
      <alignment horizontal="left" vertical="top" wrapText="1"/>
    </xf>
    <xf numFmtId="0" fontId="24" fillId="0" borderId="1" xfId="1" applyFont="1" applyBorder="1" applyAlignment="1">
      <alignment horizontal="center" vertical="top" wrapText="1"/>
    </xf>
    <xf numFmtId="0" fontId="25" fillId="0" borderId="1" xfId="1" applyFont="1" applyBorder="1" applyAlignment="1">
      <alignment horizontal="left" vertical="top" wrapText="1"/>
    </xf>
    <xf numFmtId="0" fontId="25" fillId="0" borderId="0" xfId="1" applyFont="1" applyAlignment="1">
      <alignment horizontal="center" vertical="top"/>
    </xf>
    <xf numFmtId="0" fontId="24" fillId="0" borderId="6" xfId="1" applyFont="1" applyBorder="1" applyAlignment="1">
      <alignment horizontal="left" vertical="top"/>
    </xf>
    <xf numFmtId="0" fontId="25" fillId="0" borderId="0" xfId="1" applyFont="1" applyAlignment="1">
      <alignment horizontal="center" vertical="top" wrapText="1"/>
    </xf>
    <xf numFmtId="0" fontId="24" fillId="0" borderId="1" xfId="1" applyFont="1" applyBorder="1" applyAlignment="1">
      <alignment horizontal="left" vertical="top" wrapText="1"/>
    </xf>
    <xf numFmtId="0" fontId="25" fillId="0" borderId="12" xfId="1" applyFont="1" applyBorder="1" applyAlignment="1">
      <alignment horizontal="center" vertical="top" wrapText="1"/>
    </xf>
    <xf numFmtId="0" fontId="78" fillId="0" borderId="8" xfId="1" applyFont="1" applyBorder="1" applyAlignment="1">
      <alignment horizontal="center" vertical="top" wrapText="1"/>
    </xf>
    <xf numFmtId="0" fontId="79" fillId="0" borderId="20" xfId="1" applyFont="1" applyBorder="1" applyAlignment="1">
      <alignment horizontal="center" vertical="top"/>
    </xf>
    <xf numFmtId="0" fontId="79" fillId="0" borderId="9" xfId="1" applyFont="1" applyBorder="1" applyAlignment="1">
      <alignment horizontal="center" vertical="top"/>
    </xf>
    <xf numFmtId="0" fontId="79" fillId="0" borderId="7" xfId="1" applyFont="1" applyBorder="1" applyAlignment="1">
      <alignment horizontal="center" vertical="top"/>
    </xf>
    <xf numFmtId="0" fontId="79" fillId="0" borderId="0" xfId="1" applyFont="1" applyAlignment="1">
      <alignment horizontal="center" vertical="top"/>
    </xf>
    <xf numFmtId="0" fontId="79" fillId="0" borderId="6" xfId="1" applyFont="1" applyBorder="1" applyAlignment="1">
      <alignment horizontal="center" vertical="top"/>
    </xf>
    <xf numFmtId="0" fontId="79" fillId="0" borderId="10" xfId="1" applyFont="1" applyBorder="1" applyAlignment="1">
      <alignment horizontal="center" vertical="top"/>
    </xf>
    <xf numFmtId="0" fontId="79" fillId="0" borderId="13" xfId="1" applyFont="1" applyBorder="1" applyAlignment="1">
      <alignment horizontal="center" vertical="top"/>
    </xf>
    <xf numFmtId="0" fontId="79" fillId="0" borderId="11" xfId="1" applyFont="1" applyBorder="1" applyAlignment="1">
      <alignment horizontal="center" vertical="top"/>
    </xf>
    <xf numFmtId="0" fontId="24" fillId="0" borderId="29" xfId="1" applyFont="1" applyBorder="1" applyAlignment="1">
      <alignment horizontal="left" vertical="top" wrapText="1"/>
    </xf>
    <xf numFmtId="0" fontId="24" fillId="0" borderId="30" xfId="1" applyFont="1" applyBorder="1" applyAlignment="1">
      <alignment horizontal="left" vertical="top" wrapText="1"/>
    </xf>
    <xf numFmtId="0" fontId="24" fillId="0" borderId="2" xfId="1" applyFont="1" applyBorder="1" applyAlignment="1">
      <alignment horizontal="left" vertical="top" wrapText="1"/>
    </xf>
    <xf numFmtId="173" fontId="25" fillId="0" borderId="3" xfId="1" applyNumberFormat="1" applyFont="1" applyBorder="1" applyAlignment="1">
      <alignment horizontal="center" vertical="top" wrapText="1"/>
    </xf>
    <xf numFmtId="173" fontId="25" fillId="0" borderId="1" xfId="1" applyNumberFormat="1" applyFont="1" applyBorder="1" applyAlignment="1">
      <alignment horizontal="center" vertical="top" wrapText="1"/>
    </xf>
    <xf numFmtId="0" fontId="24" fillId="0" borderId="10" xfId="1" applyFont="1" applyBorder="1" applyAlignment="1">
      <alignment horizontal="center" vertical="top" wrapText="1"/>
    </xf>
    <xf numFmtId="0" fontId="24" fillId="0" borderId="13" xfId="1" applyFont="1" applyBorder="1" applyAlignment="1">
      <alignment horizontal="center" vertical="top" wrapText="1"/>
    </xf>
    <xf numFmtId="0" fontId="24" fillId="0" borderId="11" xfId="1" applyFont="1" applyBorder="1" applyAlignment="1">
      <alignment horizontal="center" vertical="top" wrapText="1"/>
    </xf>
    <xf numFmtId="0" fontId="25" fillId="0" borderId="2" xfId="1" applyFont="1" applyBorder="1" applyAlignment="1">
      <alignment horizontal="left" vertical="top" wrapText="1"/>
    </xf>
    <xf numFmtId="0" fontId="25" fillId="0" borderId="4" xfId="1" applyFont="1" applyBorder="1" applyAlignment="1">
      <alignment horizontal="left" vertical="top" wrapText="1"/>
    </xf>
    <xf numFmtId="0" fontId="25" fillId="0" borderId="3" xfId="1" applyFont="1" applyBorder="1" applyAlignment="1">
      <alignment horizontal="left" vertical="top" wrapText="1"/>
    </xf>
    <xf numFmtId="173" fontId="25" fillId="0" borderId="2" xfId="1" applyNumberFormat="1" applyFont="1" applyBorder="1" applyAlignment="1">
      <alignment horizontal="left" vertical="top" wrapText="1"/>
    </xf>
    <xf numFmtId="173" fontId="25" fillId="0" borderId="4" xfId="1" applyNumberFormat="1" applyFont="1" applyBorder="1" applyAlignment="1">
      <alignment horizontal="left" vertical="top" wrapText="1"/>
    </xf>
    <xf numFmtId="173" fontId="25" fillId="0" borderId="3" xfId="1" applyNumberFormat="1" applyFont="1" applyBorder="1" applyAlignment="1">
      <alignment horizontal="left" vertical="top" wrapText="1"/>
    </xf>
    <xf numFmtId="0" fontId="25" fillId="0" borderId="5" xfId="1" applyFont="1" applyBorder="1" applyAlignment="1">
      <alignment horizontal="center" vertical="top" wrapText="1"/>
    </xf>
    <xf numFmtId="0" fontId="24" fillId="0" borderId="0" xfId="1" applyFont="1" applyAlignment="1">
      <alignment horizontal="center" vertical="top"/>
    </xf>
    <xf numFmtId="0" fontId="24" fillId="0" borderId="0" xfId="1" applyFont="1" applyAlignment="1">
      <alignment horizontal="left" vertical="top" wrapText="1"/>
    </xf>
    <xf numFmtId="0" fontId="24" fillId="0" borderId="4" xfId="1" applyFont="1" applyBorder="1" applyAlignment="1">
      <alignment horizontal="left" vertical="top" wrapText="1"/>
    </xf>
    <xf numFmtId="0" fontId="24" fillId="0" borderId="3" xfId="1" applyFont="1" applyBorder="1" applyAlignment="1">
      <alignment horizontal="left" vertical="top" wrapText="1"/>
    </xf>
    <xf numFmtId="0" fontId="24" fillId="0" borderId="18" xfId="1" applyFont="1" applyBorder="1" applyAlignment="1">
      <alignment horizontal="center" vertical="top" wrapText="1"/>
    </xf>
    <xf numFmtId="0" fontId="24" fillId="0" borderId="16" xfId="1" applyFont="1" applyBorder="1" applyAlignment="1">
      <alignment horizontal="center" vertical="top" wrapText="1"/>
    </xf>
    <xf numFmtId="0" fontId="28" fillId="0" borderId="0" xfId="1" applyFont="1" applyAlignment="1">
      <alignment vertical="top" wrapText="1"/>
    </xf>
    <xf numFmtId="0" fontId="24" fillId="0" borderId="15" xfId="1" applyFont="1" applyBorder="1" applyAlignment="1">
      <alignment horizontal="left" vertical="top" wrapText="1"/>
    </xf>
    <xf numFmtId="0" fontId="24" fillId="0" borderId="18" xfId="1" applyFont="1" applyBorder="1" applyAlignment="1">
      <alignment horizontal="left" vertical="top" wrapText="1"/>
    </xf>
    <xf numFmtId="0" fontId="24" fillId="0" borderId="16" xfId="1" applyFont="1" applyBorder="1" applyAlignment="1">
      <alignment horizontal="left" vertical="top" wrapText="1"/>
    </xf>
    <xf numFmtId="0" fontId="25" fillId="0" borderId="18" xfId="1" applyFont="1" applyBorder="1" applyAlignment="1">
      <alignment horizontal="center" vertical="top" wrapText="1"/>
    </xf>
    <xf numFmtId="0" fontId="25" fillId="0" borderId="16" xfId="1" applyFont="1" applyBorder="1" applyAlignment="1">
      <alignment horizontal="center" vertical="top" wrapText="1"/>
    </xf>
    <xf numFmtId="0" fontId="25" fillId="0" borderId="25" xfId="1" applyFont="1" applyBorder="1" applyAlignment="1">
      <alignment horizontal="center" vertical="top" wrapText="1"/>
    </xf>
    <xf numFmtId="0" fontId="25" fillId="0" borderId="19" xfId="1" applyFont="1" applyBorder="1" applyAlignment="1">
      <alignment horizontal="center" vertical="top" wrapText="1"/>
    </xf>
    <xf numFmtId="0" fontId="25" fillId="0" borderId="26" xfId="1" applyFont="1" applyBorder="1" applyAlignment="1">
      <alignment horizontal="center" vertical="top" wrapText="1"/>
    </xf>
    <xf numFmtId="0" fontId="25" fillId="0" borderId="27" xfId="1" applyFont="1" applyBorder="1" applyAlignment="1">
      <alignment horizontal="center" vertical="top" wrapText="1"/>
    </xf>
    <xf numFmtId="0" fontId="25" fillId="0" borderId="14" xfId="1" applyFont="1" applyBorder="1" applyAlignment="1">
      <alignment horizontal="center" vertical="top" wrapText="1"/>
    </xf>
    <xf numFmtId="0" fontId="25" fillId="0" borderId="23" xfId="1" applyFont="1" applyBorder="1" applyAlignment="1">
      <alignment horizontal="center" vertical="top" wrapText="1"/>
    </xf>
    <xf numFmtId="0" fontId="24" fillId="0" borderId="27" xfId="1" applyFont="1" applyBorder="1" applyAlignment="1">
      <alignment horizontal="left" vertical="top" wrapText="1"/>
    </xf>
    <xf numFmtId="0" fontId="24" fillId="0" borderId="28" xfId="1" applyFont="1" applyBorder="1" applyAlignment="1">
      <alignment horizontal="left" vertical="top" wrapText="1"/>
    </xf>
    <xf numFmtId="0" fontId="24" fillId="0" borderId="26" xfId="1" applyFont="1" applyBorder="1" applyAlignment="1">
      <alignment horizontal="left" vertical="top" wrapText="1"/>
    </xf>
    <xf numFmtId="0" fontId="25" fillId="0" borderId="15" xfId="1" applyFont="1" applyBorder="1" applyAlignment="1">
      <alignment horizontal="center" vertical="top" wrapText="1"/>
    </xf>
    <xf numFmtId="0" fontId="25" fillId="0" borderId="55" xfId="1" applyFont="1" applyBorder="1" applyAlignment="1">
      <alignment horizontal="left" vertical="top" wrapText="1"/>
    </xf>
    <xf numFmtId="0" fontId="25" fillId="0" borderId="14" xfId="1" applyFont="1" applyBorder="1" applyAlignment="1">
      <alignment horizontal="left" vertical="top" wrapText="1"/>
    </xf>
    <xf numFmtId="0" fontId="25" fillId="0" borderId="23" xfId="1" applyFont="1" applyBorder="1" applyAlignment="1">
      <alignment horizontal="left" vertical="top" wrapText="1"/>
    </xf>
    <xf numFmtId="0" fontId="25" fillId="0" borderId="25" xfId="1" applyFont="1" applyBorder="1" applyAlignment="1">
      <alignment horizontal="left" vertical="top" wrapText="1"/>
    </xf>
    <xf numFmtId="0" fontId="25" fillId="0" borderId="26" xfId="1" applyFont="1" applyBorder="1" applyAlignment="1">
      <alignment horizontal="left" vertical="top" wrapText="1"/>
    </xf>
    <xf numFmtId="0" fontId="25" fillId="0" borderId="22" xfId="1" applyFont="1" applyBorder="1" applyAlignment="1">
      <alignment horizontal="left" vertical="top" wrapText="1"/>
    </xf>
    <xf numFmtId="0" fontId="25" fillId="0" borderId="19" xfId="1" applyFont="1" applyBorder="1" applyAlignment="1">
      <alignment horizontal="left" vertical="top" wrapText="1"/>
    </xf>
    <xf numFmtId="171" fontId="24" fillId="0" borderId="15" xfId="1" applyNumberFormat="1" applyFont="1" applyBorder="1" applyAlignment="1">
      <alignment horizontal="left" vertical="top" wrapText="1"/>
    </xf>
    <xf numFmtId="171" fontId="24" fillId="0" borderId="18" xfId="1" applyNumberFormat="1" applyFont="1" applyBorder="1" applyAlignment="1">
      <alignment horizontal="left" vertical="top" wrapText="1"/>
    </xf>
    <xf numFmtId="171" fontId="24" fillId="0" borderId="16" xfId="1" applyNumberFormat="1" applyFont="1" applyBorder="1" applyAlignment="1">
      <alignment horizontal="left" vertical="top" wrapText="1"/>
    </xf>
    <xf numFmtId="0" fontId="21" fillId="0" borderId="0" xfId="1" applyFont="1" applyAlignment="1">
      <alignment vertical="top"/>
    </xf>
    <xf numFmtId="0" fontId="22" fillId="0" borderId="0" xfId="1" applyFont="1" applyAlignment="1">
      <alignment horizontal="center" vertical="top"/>
    </xf>
    <xf numFmtId="0" fontId="24" fillId="0" borderId="0" xfId="1" applyFont="1" applyAlignment="1">
      <alignment horizontal="center" vertical="top" wrapText="1"/>
    </xf>
    <xf numFmtId="173" fontId="25" fillId="0" borderId="15" xfId="1" applyNumberFormat="1" applyFont="1" applyBorder="1" applyAlignment="1">
      <alignment horizontal="center" vertical="center" wrapText="1"/>
    </xf>
    <xf numFmtId="173" fontId="25" fillId="0" borderId="18" xfId="1" applyNumberFormat="1" applyFont="1" applyBorder="1" applyAlignment="1">
      <alignment horizontal="center" vertical="center" wrapText="1"/>
    </xf>
    <xf numFmtId="173" fontId="25" fillId="0" borderId="16" xfId="1" applyNumberFormat="1" applyFont="1" applyBorder="1" applyAlignment="1">
      <alignment horizontal="center" vertical="center" wrapText="1"/>
    </xf>
    <xf numFmtId="0" fontId="14" fillId="0" borderId="36" xfId="3" applyBorder="1" applyAlignment="1">
      <alignment horizontal="left"/>
    </xf>
    <xf numFmtId="0" fontId="14" fillId="0" borderId="0" xfId="3" applyAlignment="1">
      <alignment horizontal="left"/>
    </xf>
    <xf numFmtId="0" fontId="13" fillId="3" borderId="37" xfId="3" applyFont="1" applyFill="1" applyBorder="1" applyAlignment="1">
      <alignment horizontal="left" vertical="top"/>
    </xf>
    <xf numFmtId="0" fontId="13" fillId="3" borderId="33" xfId="3" applyFont="1" applyFill="1" applyBorder="1" applyAlignment="1">
      <alignment horizontal="center"/>
    </xf>
    <xf numFmtId="0" fontId="13" fillId="3" borderId="34" xfId="3" applyFont="1" applyFill="1" applyBorder="1" applyAlignment="1">
      <alignment horizontal="center"/>
    </xf>
    <xf numFmtId="0" fontId="13" fillId="3" borderId="35" xfId="3" applyFont="1" applyFill="1" applyBorder="1" applyAlignment="1">
      <alignment horizontal="center"/>
    </xf>
    <xf numFmtId="0" fontId="15" fillId="3" borderId="36" xfId="3" applyFont="1" applyFill="1" applyBorder="1" applyAlignment="1">
      <alignment horizontal="center"/>
    </xf>
    <xf numFmtId="0" fontId="15" fillId="3" borderId="0" xfId="3" applyFont="1" applyFill="1" applyAlignment="1">
      <alignment horizontal="center"/>
    </xf>
    <xf numFmtId="0" fontId="15" fillId="3" borderId="37" xfId="3" applyFont="1" applyFill="1" applyBorder="1" applyAlignment="1">
      <alignment horizontal="center"/>
    </xf>
    <xf numFmtId="0" fontId="13" fillId="0" borderId="36" xfId="3" applyFont="1" applyBorder="1" applyAlignment="1">
      <alignment horizontal="center"/>
    </xf>
    <xf numFmtId="0" fontId="13" fillId="0" borderId="0" xfId="3" applyFont="1" applyAlignment="1">
      <alignment horizontal="center"/>
    </xf>
    <xf numFmtId="0" fontId="13" fillId="0" borderId="37" xfId="3" applyFont="1" applyBorder="1" applyAlignment="1">
      <alignment horizontal="center"/>
    </xf>
    <xf numFmtId="0" fontId="80" fillId="14" borderId="34" xfId="0" applyFont="1" applyFill="1" applyBorder="1" applyAlignment="1">
      <alignment horizontal="center" vertical="center" wrapText="1"/>
    </xf>
    <xf numFmtId="0" fontId="80" fillId="14" borderId="35" xfId="0" applyFont="1" applyFill="1" applyBorder="1" applyAlignment="1">
      <alignment horizontal="center" vertical="center" wrapText="1"/>
    </xf>
    <xf numFmtId="0" fontId="80" fillId="14" borderId="39" xfId="0" applyFont="1" applyFill="1" applyBorder="1" applyAlignment="1">
      <alignment horizontal="center" vertical="center" wrapText="1"/>
    </xf>
    <xf numFmtId="0" fontId="80" fillId="14" borderId="40" xfId="0" applyFont="1" applyFill="1" applyBorder="1" applyAlignment="1">
      <alignment horizontal="center" vertical="center" wrapText="1"/>
    </xf>
    <xf numFmtId="0" fontId="60" fillId="0" borderId="69" xfId="0" applyFont="1" applyBorder="1" applyAlignment="1">
      <alignment horizontal="left"/>
    </xf>
    <xf numFmtId="0" fontId="60" fillId="0" borderId="70" xfId="0" applyFont="1" applyBorder="1" applyAlignment="1">
      <alignment horizontal="left"/>
    </xf>
    <xf numFmtId="0" fontId="60" fillId="0" borderId="71" xfId="0" applyFont="1" applyBorder="1" applyAlignment="1">
      <alignment horizontal="left"/>
    </xf>
    <xf numFmtId="0" fontId="60" fillId="0" borderId="72" xfId="0" applyFont="1" applyBorder="1" applyAlignment="1">
      <alignment horizontal="left"/>
    </xf>
    <xf numFmtId="0" fontId="59" fillId="15" borderId="33" xfId="0" applyFont="1" applyFill="1" applyBorder="1" applyAlignment="1">
      <alignment horizontal="left" vertical="top" wrapText="1"/>
    </xf>
    <xf numFmtId="0" fontId="59" fillId="15" borderId="34" xfId="0" applyFont="1" applyFill="1" applyBorder="1" applyAlignment="1">
      <alignment horizontal="left" vertical="top" wrapText="1"/>
    </xf>
    <xf numFmtId="0" fontId="59" fillId="15" borderId="35" xfId="0" applyFont="1" applyFill="1" applyBorder="1" applyAlignment="1">
      <alignment horizontal="left" vertical="top" wrapText="1"/>
    </xf>
    <xf numFmtId="0" fontId="59" fillId="15" borderId="36" xfId="0" applyFont="1" applyFill="1" applyBorder="1" applyAlignment="1">
      <alignment horizontal="left" vertical="top" wrapText="1"/>
    </xf>
    <xf numFmtId="0" fontId="59" fillId="15" borderId="0" xfId="0" applyFont="1" applyFill="1" applyAlignment="1">
      <alignment horizontal="left" vertical="top" wrapText="1"/>
    </xf>
    <xf numFmtId="0" fontId="59" fillId="15" borderId="37" xfId="0" applyFont="1" applyFill="1" applyBorder="1" applyAlignment="1">
      <alignment horizontal="left" vertical="top" wrapText="1"/>
    </xf>
    <xf numFmtId="0" fontId="59" fillId="15" borderId="38" xfId="0" applyFont="1" applyFill="1" applyBorder="1" applyAlignment="1">
      <alignment horizontal="left" vertical="top" wrapText="1"/>
    </xf>
    <xf numFmtId="0" fontId="59" fillId="15" borderId="39" xfId="0" applyFont="1" applyFill="1" applyBorder="1" applyAlignment="1">
      <alignment horizontal="left" vertical="top" wrapText="1"/>
    </xf>
    <xf numFmtId="0" fontId="59" fillId="15" borderId="40" xfId="0" applyFont="1" applyFill="1" applyBorder="1" applyAlignment="1">
      <alignment horizontal="left" vertical="top" wrapText="1"/>
    </xf>
    <xf numFmtId="0" fontId="73" fillId="0" borderId="33" xfId="0" applyFont="1" applyBorder="1" applyAlignment="1">
      <alignment horizontal="center" vertical="center" wrapText="1"/>
    </xf>
    <xf numFmtId="0" fontId="73" fillId="0" borderId="35" xfId="0" applyFont="1" applyBorder="1" applyAlignment="1">
      <alignment horizontal="center" vertical="center" wrapText="1"/>
    </xf>
    <xf numFmtId="0" fontId="73" fillId="0" borderId="36" xfId="0" applyFont="1" applyBorder="1" applyAlignment="1">
      <alignment horizontal="center" vertical="center" wrapText="1"/>
    </xf>
    <xf numFmtId="0" fontId="73" fillId="0" borderId="37" xfId="0" applyFont="1" applyBorder="1" applyAlignment="1">
      <alignment horizontal="center" vertical="center" wrapText="1"/>
    </xf>
    <xf numFmtId="0" fontId="73" fillId="0" borderId="38" xfId="0" applyFont="1" applyBorder="1" applyAlignment="1">
      <alignment horizontal="center" vertical="center" wrapText="1"/>
    </xf>
    <xf numFmtId="0" fontId="73" fillId="0" borderId="40" xfId="0" applyFont="1" applyBorder="1" applyAlignment="1">
      <alignment horizontal="center" vertical="center" wrapText="1"/>
    </xf>
    <xf numFmtId="0" fontId="60" fillId="0" borderId="67" xfId="0" applyFont="1" applyBorder="1" applyAlignment="1">
      <alignment horizontal="left"/>
    </xf>
    <xf numFmtId="0" fontId="60" fillId="0" borderId="68" xfId="0" applyFont="1" applyBorder="1" applyAlignment="1">
      <alignment horizontal="left"/>
    </xf>
    <xf numFmtId="0" fontId="59" fillId="0" borderId="33" xfId="0" applyFont="1" applyBorder="1" applyAlignment="1">
      <alignment horizontal="left" vertical="center"/>
    </xf>
    <xf numFmtId="0" fontId="59" fillId="0" borderId="35" xfId="0" applyFont="1" applyBorder="1" applyAlignment="1">
      <alignment horizontal="left" vertical="center"/>
    </xf>
    <xf numFmtId="0" fontId="59" fillId="0" borderId="38" xfId="0" applyFont="1" applyBorder="1" applyAlignment="1">
      <alignment horizontal="left" vertical="center"/>
    </xf>
    <xf numFmtId="0" fontId="59" fillId="0" borderId="40" xfId="0" applyFont="1" applyBorder="1" applyAlignment="1">
      <alignment horizontal="left" vertical="center"/>
    </xf>
    <xf numFmtId="0" fontId="13" fillId="3" borderId="0" xfId="3" applyFont="1" applyFill="1" applyAlignment="1">
      <alignment horizontal="left" vertical="center" wrapText="1"/>
    </xf>
    <xf numFmtId="0" fontId="13" fillId="3" borderId="0" xfId="3" applyFont="1" applyFill="1" applyAlignment="1">
      <alignment horizontal="center" vertical="center" wrapText="1"/>
    </xf>
    <xf numFmtId="0" fontId="13" fillId="3" borderId="37" xfId="3" applyFont="1" applyFill="1" applyBorder="1" applyAlignment="1">
      <alignment horizontal="center" vertical="center" wrapText="1"/>
    </xf>
    <xf numFmtId="0" fontId="13" fillId="3" borderId="37" xfId="3" applyFont="1" applyFill="1" applyBorder="1" applyAlignment="1">
      <alignment horizontal="left" vertical="center" wrapText="1"/>
    </xf>
  </cellXfs>
  <cellStyles count="439">
    <cellStyle name=" Task]_x000d__x000a_TaskName=Scan At_x000d__x000a_TaskID=3_x000d__x000a_WorkstationName=SmarTone_x000d__x000a_LastExecuted=0_x000d__x000a_LastSt" xfId="9" xr:uid="{00000000-0005-0000-0000-000000000000}"/>
    <cellStyle name=" Task]_x000d__x000a_TaskName=Scan At_x000d__x000a_TaskID=3_x000d__x000a_WorkstationName=SmarTone_x000d__x000a_LastExecuted=0_x000d__x000a_LastSt 2" xfId="10" xr:uid="{00000000-0005-0000-0000-000001000000}"/>
    <cellStyle name=" Task]_x000d__x000a_TaskName=Scan At_x000d__x000a_TaskID=3_x000d__x000a_WorkstationName=SmarTone_x000d__x000a_LastExecuted=0_x000d__x000a_LastSt 2 10" xfId="11" xr:uid="{00000000-0005-0000-0000-000002000000}"/>
    <cellStyle name=" Task]_x000d__x000a_TaskName=Scan At_x000d__x000a_TaskID=3_x000d__x000a_WorkstationName=SmarTone_x000d__x000a_LastExecuted=0_x000d__x000a_LastSt 2 11" xfId="12" xr:uid="{00000000-0005-0000-0000-000003000000}"/>
    <cellStyle name=" Task]_x000d__x000a_TaskName=Scan At_x000d__x000a_TaskID=3_x000d__x000a_WorkstationName=SmarTone_x000d__x000a_LastExecuted=0_x000d__x000a_LastSt 2 12" xfId="13" xr:uid="{00000000-0005-0000-0000-000004000000}"/>
    <cellStyle name=" Task]_x000d__x000a_TaskName=Scan At_x000d__x000a_TaskID=3_x000d__x000a_WorkstationName=SmarTone_x000d__x000a_LastExecuted=0_x000d__x000a_LastSt 2 13" xfId="14" xr:uid="{00000000-0005-0000-0000-000005000000}"/>
    <cellStyle name=" Task]_x000d__x000a_TaskName=Scan At_x000d__x000a_TaskID=3_x000d__x000a_WorkstationName=SmarTone_x000d__x000a_LastExecuted=0_x000d__x000a_LastSt 2 14" xfId="15" xr:uid="{00000000-0005-0000-0000-000006000000}"/>
    <cellStyle name=" Task]_x000d__x000a_TaskName=Scan At_x000d__x000a_TaskID=3_x000d__x000a_WorkstationName=SmarTone_x000d__x000a_LastExecuted=0_x000d__x000a_LastSt 2 15" xfId="16" xr:uid="{00000000-0005-0000-0000-000007000000}"/>
    <cellStyle name=" Task]_x000d__x000a_TaskName=Scan At_x000d__x000a_TaskID=3_x000d__x000a_WorkstationName=SmarTone_x000d__x000a_LastExecuted=0_x000d__x000a_LastSt 2 16" xfId="17" xr:uid="{00000000-0005-0000-0000-000008000000}"/>
    <cellStyle name=" Task]_x000d__x000a_TaskName=Scan At_x000d__x000a_TaskID=3_x000d__x000a_WorkstationName=SmarTone_x000d__x000a_LastExecuted=0_x000d__x000a_LastSt 2 17" xfId="18" xr:uid="{00000000-0005-0000-0000-000009000000}"/>
    <cellStyle name=" Task]_x000d__x000a_TaskName=Scan At_x000d__x000a_TaskID=3_x000d__x000a_WorkstationName=SmarTone_x000d__x000a_LastExecuted=0_x000d__x000a_LastSt 2 18" xfId="19" xr:uid="{00000000-0005-0000-0000-00000A000000}"/>
    <cellStyle name=" Task]_x000d__x000a_TaskName=Scan At_x000d__x000a_TaskID=3_x000d__x000a_WorkstationName=SmarTone_x000d__x000a_LastExecuted=0_x000d__x000a_LastSt 2 19" xfId="20" xr:uid="{00000000-0005-0000-0000-00000B000000}"/>
    <cellStyle name=" Task]_x000d__x000a_TaskName=Scan At_x000d__x000a_TaskID=3_x000d__x000a_WorkstationName=SmarTone_x000d__x000a_LastExecuted=0_x000d__x000a_LastSt 2 2" xfId="21" xr:uid="{00000000-0005-0000-0000-00000C000000}"/>
    <cellStyle name=" Task]_x000d__x000a_TaskName=Scan At_x000d__x000a_TaskID=3_x000d__x000a_WorkstationName=SmarTone_x000d__x000a_LastExecuted=0_x000d__x000a_LastSt 2 20" xfId="22" xr:uid="{00000000-0005-0000-0000-00000D000000}"/>
    <cellStyle name=" Task]_x000d__x000a_TaskName=Scan At_x000d__x000a_TaskID=3_x000d__x000a_WorkstationName=SmarTone_x000d__x000a_LastExecuted=0_x000d__x000a_LastSt 2 21" xfId="23" xr:uid="{00000000-0005-0000-0000-00000E000000}"/>
    <cellStyle name=" Task]_x000d__x000a_TaskName=Scan At_x000d__x000a_TaskID=3_x000d__x000a_WorkstationName=SmarTone_x000d__x000a_LastExecuted=0_x000d__x000a_LastSt 2 22" xfId="24" xr:uid="{00000000-0005-0000-0000-00000F000000}"/>
    <cellStyle name=" Task]_x000d__x000a_TaskName=Scan At_x000d__x000a_TaskID=3_x000d__x000a_WorkstationName=SmarTone_x000d__x000a_LastExecuted=0_x000d__x000a_LastSt 2 23" xfId="25" xr:uid="{00000000-0005-0000-0000-000010000000}"/>
    <cellStyle name=" Task]_x000d__x000a_TaskName=Scan At_x000d__x000a_TaskID=3_x000d__x000a_WorkstationName=SmarTone_x000d__x000a_LastExecuted=0_x000d__x000a_LastSt 2 24" xfId="26" xr:uid="{00000000-0005-0000-0000-000011000000}"/>
    <cellStyle name=" Task]_x000d__x000a_TaskName=Scan At_x000d__x000a_TaskID=3_x000d__x000a_WorkstationName=SmarTone_x000d__x000a_LastExecuted=0_x000d__x000a_LastSt 2 25" xfId="27" xr:uid="{00000000-0005-0000-0000-000012000000}"/>
    <cellStyle name=" Task]_x000d__x000a_TaskName=Scan At_x000d__x000a_TaskID=3_x000d__x000a_WorkstationName=SmarTone_x000d__x000a_LastExecuted=0_x000d__x000a_LastSt 2 26" xfId="28" xr:uid="{00000000-0005-0000-0000-000013000000}"/>
    <cellStyle name=" Task]_x000d__x000a_TaskName=Scan At_x000d__x000a_TaskID=3_x000d__x000a_WorkstationName=SmarTone_x000d__x000a_LastExecuted=0_x000d__x000a_LastSt 2 27" xfId="29" xr:uid="{00000000-0005-0000-0000-000014000000}"/>
    <cellStyle name=" Task]_x000d__x000a_TaskName=Scan At_x000d__x000a_TaskID=3_x000d__x000a_WorkstationName=SmarTone_x000d__x000a_LastExecuted=0_x000d__x000a_LastSt 2 3" xfId="30" xr:uid="{00000000-0005-0000-0000-000015000000}"/>
    <cellStyle name=" Task]_x000d__x000a_TaskName=Scan At_x000d__x000a_TaskID=3_x000d__x000a_WorkstationName=SmarTone_x000d__x000a_LastExecuted=0_x000d__x000a_LastSt 2 4" xfId="31" xr:uid="{00000000-0005-0000-0000-000016000000}"/>
    <cellStyle name=" Task]_x000d__x000a_TaskName=Scan At_x000d__x000a_TaskID=3_x000d__x000a_WorkstationName=SmarTone_x000d__x000a_LastExecuted=0_x000d__x000a_LastSt 2 5" xfId="32" xr:uid="{00000000-0005-0000-0000-000017000000}"/>
    <cellStyle name=" Task]_x000d__x000a_TaskName=Scan At_x000d__x000a_TaskID=3_x000d__x000a_WorkstationName=SmarTone_x000d__x000a_LastExecuted=0_x000d__x000a_LastSt 2 6" xfId="33" xr:uid="{00000000-0005-0000-0000-000018000000}"/>
    <cellStyle name=" Task]_x000d__x000a_TaskName=Scan At_x000d__x000a_TaskID=3_x000d__x000a_WorkstationName=SmarTone_x000d__x000a_LastExecuted=0_x000d__x000a_LastSt 2 7" xfId="34" xr:uid="{00000000-0005-0000-0000-000019000000}"/>
    <cellStyle name=" Task]_x000d__x000a_TaskName=Scan At_x000d__x000a_TaskID=3_x000d__x000a_WorkstationName=SmarTone_x000d__x000a_LastExecuted=0_x000d__x000a_LastSt 2 8" xfId="35" xr:uid="{00000000-0005-0000-0000-00001A000000}"/>
    <cellStyle name=" Task]_x000d__x000a_TaskName=Scan At_x000d__x000a_TaskID=3_x000d__x000a_WorkstationName=SmarTone_x000d__x000a_LastExecuted=0_x000d__x000a_LastSt 2 9" xfId="36" xr:uid="{00000000-0005-0000-0000-00001B000000}"/>
    <cellStyle name=" Task]_x000d__x000a_TaskName=Scan At_x000d__x000a_TaskID=3_x000d__x000a_WorkstationName=SmarTone_x000d__x000a_LastExecuted=0_x000d__x000a_LastSt 3" xfId="37" xr:uid="{00000000-0005-0000-0000-00001C000000}"/>
    <cellStyle name=" Task]_x000d__x000a_TaskName=Scan At_x000d__x000a_TaskID=3_x000d__x000a_WorkstationName=SmarTone_x000d__x000a_LastExecuted=0_x000d__x000a_LastSt 3 10" xfId="38" xr:uid="{00000000-0005-0000-0000-00001D000000}"/>
    <cellStyle name=" Task]_x000d__x000a_TaskName=Scan At_x000d__x000a_TaskID=3_x000d__x000a_WorkstationName=SmarTone_x000d__x000a_LastExecuted=0_x000d__x000a_LastSt 3 11" xfId="39" xr:uid="{00000000-0005-0000-0000-00001E000000}"/>
    <cellStyle name=" Task]_x000d__x000a_TaskName=Scan At_x000d__x000a_TaskID=3_x000d__x000a_WorkstationName=SmarTone_x000d__x000a_LastExecuted=0_x000d__x000a_LastSt 3 12" xfId="40" xr:uid="{00000000-0005-0000-0000-00001F000000}"/>
    <cellStyle name=" Task]_x000d__x000a_TaskName=Scan At_x000d__x000a_TaskID=3_x000d__x000a_WorkstationName=SmarTone_x000d__x000a_LastExecuted=0_x000d__x000a_LastSt 3 13" xfId="41" xr:uid="{00000000-0005-0000-0000-000020000000}"/>
    <cellStyle name=" Task]_x000d__x000a_TaskName=Scan At_x000d__x000a_TaskID=3_x000d__x000a_WorkstationName=SmarTone_x000d__x000a_LastExecuted=0_x000d__x000a_LastSt 3 14" xfId="42" xr:uid="{00000000-0005-0000-0000-000021000000}"/>
    <cellStyle name=" Task]_x000d__x000a_TaskName=Scan At_x000d__x000a_TaskID=3_x000d__x000a_WorkstationName=SmarTone_x000d__x000a_LastExecuted=0_x000d__x000a_LastSt 3 15" xfId="43" xr:uid="{00000000-0005-0000-0000-000022000000}"/>
    <cellStyle name=" Task]_x000d__x000a_TaskName=Scan At_x000d__x000a_TaskID=3_x000d__x000a_WorkstationName=SmarTone_x000d__x000a_LastExecuted=0_x000d__x000a_LastSt 3 16" xfId="44" xr:uid="{00000000-0005-0000-0000-000023000000}"/>
    <cellStyle name=" Task]_x000d__x000a_TaskName=Scan At_x000d__x000a_TaskID=3_x000d__x000a_WorkstationName=SmarTone_x000d__x000a_LastExecuted=0_x000d__x000a_LastSt 3 17" xfId="45" xr:uid="{00000000-0005-0000-0000-000024000000}"/>
    <cellStyle name=" Task]_x000d__x000a_TaskName=Scan At_x000d__x000a_TaskID=3_x000d__x000a_WorkstationName=SmarTone_x000d__x000a_LastExecuted=0_x000d__x000a_LastSt 3 18" xfId="46" xr:uid="{00000000-0005-0000-0000-000025000000}"/>
    <cellStyle name=" Task]_x000d__x000a_TaskName=Scan At_x000d__x000a_TaskID=3_x000d__x000a_WorkstationName=SmarTone_x000d__x000a_LastExecuted=0_x000d__x000a_LastSt 3 19" xfId="47" xr:uid="{00000000-0005-0000-0000-000026000000}"/>
    <cellStyle name=" Task]_x000d__x000a_TaskName=Scan At_x000d__x000a_TaskID=3_x000d__x000a_WorkstationName=SmarTone_x000d__x000a_LastExecuted=0_x000d__x000a_LastSt 3 2" xfId="48" xr:uid="{00000000-0005-0000-0000-000027000000}"/>
    <cellStyle name=" Task]_x000d__x000a_TaskName=Scan At_x000d__x000a_TaskID=3_x000d__x000a_WorkstationName=SmarTone_x000d__x000a_LastExecuted=0_x000d__x000a_LastSt 3 20" xfId="49" xr:uid="{00000000-0005-0000-0000-000028000000}"/>
    <cellStyle name=" Task]_x000d__x000a_TaskName=Scan At_x000d__x000a_TaskID=3_x000d__x000a_WorkstationName=SmarTone_x000d__x000a_LastExecuted=0_x000d__x000a_LastSt 3 21" xfId="50" xr:uid="{00000000-0005-0000-0000-000029000000}"/>
    <cellStyle name=" Task]_x000d__x000a_TaskName=Scan At_x000d__x000a_TaskID=3_x000d__x000a_WorkstationName=SmarTone_x000d__x000a_LastExecuted=0_x000d__x000a_LastSt 3 22" xfId="51" xr:uid="{00000000-0005-0000-0000-00002A000000}"/>
    <cellStyle name=" Task]_x000d__x000a_TaskName=Scan At_x000d__x000a_TaskID=3_x000d__x000a_WorkstationName=SmarTone_x000d__x000a_LastExecuted=0_x000d__x000a_LastSt 3 23" xfId="52" xr:uid="{00000000-0005-0000-0000-00002B000000}"/>
    <cellStyle name=" Task]_x000d__x000a_TaskName=Scan At_x000d__x000a_TaskID=3_x000d__x000a_WorkstationName=SmarTone_x000d__x000a_LastExecuted=0_x000d__x000a_LastSt 3 3" xfId="53" xr:uid="{00000000-0005-0000-0000-00002C000000}"/>
    <cellStyle name=" Task]_x000d__x000a_TaskName=Scan At_x000d__x000a_TaskID=3_x000d__x000a_WorkstationName=SmarTone_x000d__x000a_LastExecuted=0_x000d__x000a_LastSt 3 4" xfId="54" xr:uid="{00000000-0005-0000-0000-00002D000000}"/>
    <cellStyle name=" Task]_x000d__x000a_TaskName=Scan At_x000d__x000a_TaskID=3_x000d__x000a_WorkstationName=SmarTone_x000d__x000a_LastExecuted=0_x000d__x000a_LastSt 3 5" xfId="55" xr:uid="{00000000-0005-0000-0000-00002E000000}"/>
    <cellStyle name=" Task]_x000d__x000a_TaskName=Scan At_x000d__x000a_TaskID=3_x000d__x000a_WorkstationName=SmarTone_x000d__x000a_LastExecuted=0_x000d__x000a_LastSt 3 6" xfId="56" xr:uid="{00000000-0005-0000-0000-00002F000000}"/>
    <cellStyle name=" Task]_x000d__x000a_TaskName=Scan At_x000d__x000a_TaskID=3_x000d__x000a_WorkstationName=SmarTone_x000d__x000a_LastExecuted=0_x000d__x000a_LastSt 3 7" xfId="57" xr:uid="{00000000-0005-0000-0000-000030000000}"/>
    <cellStyle name=" Task]_x000d__x000a_TaskName=Scan At_x000d__x000a_TaskID=3_x000d__x000a_WorkstationName=SmarTone_x000d__x000a_LastExecuted=0_x000d__x000a_LastSt 3 8" xfId="58" xr:uid="{00000000-0005-0000-0000-000031000000}"/>
    <cellStyle name=" Task]_x000d__x000a_TaskName=Scan At_x000d__x000a_TaskID=3_x000d__x000a_WorkstationName=SmarTone_x000d__x000a_LastExecuted=0_x000d__x000a_LastSt 3 9" xfId="59" xr:uid="{00000000-0005-0000-0000-000032000000}"/>
    <cellStyle name=" Task]_x000d__x000a_TaskName=Scan At_x000d__x000a_TaskID=3_x000d__x000a_WorkstationName=SmarTone_x000d__x000a_LastExecuted=0_x000d__x000a_LastSt 4" xfId="60" xr:uid="{00000000-0005-0000-0000-000033000000}"/>
    <cellStyle name=" Task]_x000d__x000a_TaskName=Scan At_x000d__x000a_TaskID=3_x000d__x000a_WorkstationName=SmarTone_x000d__x000a_LastExecuted=0_x000d__x000a_LastSt 4 10" xfId="61" xr:uid="{00000000-0005-0000-0000-000034000000}"/>
    <cellStyle name=" Task]_x000d__x000a_TaskName=Scan At_x000d__x000a_TaskID=3_x000d__x000a_WorkstationName=SmarTone_x000d__x000a_LastExecuted=0_x000d__x000a_LastSt 4 11" xfId="62" xr:uid="{00000000-0005-0000-0000-000035000000}"/>
    <cellStyle name=" Task]_x000d__x000a_TaskName=Scan At_x000d__x000a_TaskID=3_x000d__x000a_WorkstationName=SmarTone_x000d__x000a_LastExecuted=0_x000d__x000a_LastSt 4 12" xfId="63" xr:uid="{00000000-0005-0000-0000-000036000000}"/>
    <cellStyle name=" Task]_x000d__x000a_TaskName=Scan At_x000d__x000a_TaskID=3_x000d__x000a_WorkstationName=SmarTone_x000d__x000a_LastExecuted=0_x000d__x000a_LastSt 4 13" xfId="64" xr:uid="{00000000-0005-0000-0000-000037000000}"/>
    <cellStyle name=" Task]_x000d__x000a_TaskName=Scan At_x000d__x000a_TaskID=3_x000d__x000a_WorkstationName=SmarTone_x000d__x000a_LastExecuted=0_x000d__x000a_LastSt 4 14" xfId="65" xr:uid="{00000000-0005-0000-0000-000038000000}"/>
    <cellStyle name=" Task]_x000d__x000a_TaskName=Scan At_x000d__x000a_TaskID=3_x000d__x000a_WorkstationName=SmarTone_x000d__x000a_LastExecuted=0_x000d__x000a_LastSt 4 15" xfId="66" xr:uid="{00000000-0005-0000-0000-000039000000}"/>
    <cellStyle name=" Task]_x000d__x000a_TaskName=Scan At_x000d__x000a_TaskID=3_x000d__x000a_WorkstationName=SmarTone_x000d__x000a_LastExecuted=0_x000d__x000a_LastSt 4 16" xfId="67" xr:uid="{00000000-0005-0000-0000-00003A000000}"/>
    <cellStyle name=" Task]_x000d__x000a_TaskName=Scan At_x000d__x000a_TaskID=3_x000d__x000a_WorkstationName=SmarTone_x000d__x000a_LastExecuted=0_x000d__x000a_LastSt 4 17" xfId="68" xr:uid="{00000000-0005-0000-0000-00003B000000}"/>
    <cellStyle name=" Task]_x000d__x000a_TaskName=Scan At_x000d__x000a_TaskID=3_x000d__x000a_WorkstationName=SmarTone_x000d__x000a_LastExecuted=0_x000d__x000a_LastSt 4 18" xfId="69" xr:uid="{00000000-0005-0000-0000-00003C000000}"/>
    <cellStyle name=" Task]_x000d__x000a_TaskName=Scan At_x000d__x000a_TaskID=3_x000d__x000a_WorkstationName=SmarTone_x000d__x000a_LastExecuted=0_x000d__x000a_LastSt 4 19" xfId="70" xr:uid="{00000000-0005-0000-0000-00003D000000}"/>
    <cellStyle name=" Task]_x000d__x000a_TaskName=Scan At_x000d__x000a_TaskID=3_x000d__x000a_WorkstationName=SmarTone_x000d__x000a_LastExecuted=0_x000d__x000a_LastSt 4 2" xfId="71" xr:uid="{00000000-0005-0000-0000-00003E000000}"/>
    <cellStyle name=" Task]_x000d__x000a_TaskName=Scan At_x000d__x000a_TaskID=3_x000d__x000a_WorkstationName=SmarTone_x000d__x000a_LastExecuted=0_x000d__x000a_LastSt 4 20" xfId="72" xr:uid="{00000000-0005-0000-0000-00003F000000}"/>
    <cellStyle name=" Task]_x000d__x000a_TaskName=Scan At_x000d__x000a_TaskID=3_x000d__x000a_WorkstationName=SmarTone_x000d__x000a_LastExecuted=0_x000d__x000a_LastSt 4 21" xfId="73" xr:uid="{00000000-0005-0000-0000-000040000000}"/>
    <cellStyle name=" Task]_x000d__x000a_TaskName=Scan At_x000d__x000a_TaskID=3_x000d__x000a_WorkstationName=SmarTone_x000d__x000a_LastExecuted=0_x000d__x000a_LastSt 4 22" xfId="74" xr:uid="{00000000-0005-0000-0000-000041000000}"/>
    <cellStyle name=" Task]_x000d__x000a_TaskName=Scan At_x000d__x000a_TaskID=3_x000d__x000a_WorkstationName=SmarTone_x000d__x000a_LastExecuted=0_x000d__x000a_LastSt 4 23" xfId="75" xr:uid="{00000000-0005-0000-0000-000042000000}"/>
    <cellStyle name=" Task]_x000d__x000a_TaskName=Scan At_x000d__x000a_TaskID=3_x000d__x000a_WorkstationName=SmarTone_x000d__x000a_LastExecuted=0_x000d__x000a_LastSt 4 3" xfId="76" xr:uid="{00000000-0005-0000-0000-000043000000}"/>
    <cellStyle name=" Task]_x000d__x000a_TaskName=Scan At_x000d__x000a_TaskID=3_x000d__x000a_WorkstationName=SmarTone_x000d__x000a_LastExecuted=0_x000d__x000a_LastSt 4 4" xfId="77" xr:uid="{00000000-0005-0000-0000-000044000000}"/>
    <cellStyle name=" Task]_x000d__x000a_TaskName=Scan At_x000d__x000a_TaskID=3_x000d__x000a_WorkstationName=SmarTone_x000d__x000a_LastExecuted=0_x000d__x000a_LastSt 4 5" xfId="78" xr:uid="{00000000-0005-0000-0000-000045000000}"/>
    <cellStyle name=" Task]_x000d__x000a_TaskName=Scan At_x000d__x000a_TaskID=3_x000d__x000a_WorkstationName=SmarTone_x000d__x000a_LastExecuted=0_x000d__x000a_LastSt 4 6" xfId="79" xr:uid="{00000000-0005-0000-0000-000046000000}"/>
    <cellStyle name=" Task]_x000d__x000a_TaskName=Scan At_x000d__x000a_TaskID=3_x000d__x000a_WorkstationName=SmarTone_x000d__x000a_LastExecuted=0_x000d__x000a_LastSt 4 7" xfId="80" xr:uid="{00000000-0005-0000-0000-000047000000}"/>
    <cellStyle name=" Task]_x000d__x000a_TaskName=Scan At_x000d__x000a_TaskID=3_x000d__x000a_WorkstationName=SmarTone_x000d__x000a_LastExecuted=0_x000d__x000a_LastSt 4 8" xfId="81" xr:uid="{00000000-0005-0000-0000-000048000000}"/>
    <cellStyle name=" Task]_x000d__x000a_TaskName=Scan At_x000d__x000a_TaskID=3_x000d__x000a_WorkstationName=SmarTone_x000d__x000a_LastExecuted=0_x000d__x000a_LastSt 4 9" xfId="82" xr:uid="{00000000-0005-0000-0000-000049000000}"/>
    <cellStyle name=" Task]_x000d__x000a_TaskName=Scan At_x000d__x000a_TaskID=3_x000d__x000a_WorkstationName=SmarTone_x000d__x000a_LastExecuted=0_x000d__x000a_LastSt 5" xfId="83" xr:uid="{00000000-0005-0000-0000-00004A000000}"/>
    <cellStyle name=" Task]_x000d__x000a_TaskName=Scan At_x000d__x000a_TaskID=3_x000d__x000a_WorkstationName=SmarTone_x000d__x000a_LastExecuted=0_x000d__x000a_LastSt 5 10" xfId="84" xr:uid="{00000000-0005-0000-0000-00004B000000}"/>
    <cellStyle name=" Task]_x000d__x000a_TaskName=Scan At_x000d__x000a_TaskID=3_x000d__x000a_WorkstationName=SmarTone_x000d__x000a_LastExecuted=0_x000d__x000a_LastSt 5 11" xfId="85" xr:uid="{00000000-0005-0000-0000-00004C000000}"/>
    <cellStyle name=" Task]_x000d__x000a_TaskName=Scan At_x000d__x000a_TaskID=3_x000d__x000a_WorkstationName=SmarTone_x000d__x000a_LastExecuted=0_x000d__x000a_LastSt 5 12" xfId="86" xr:uid="{00000000-0005-0000-0000-00004D000000}"/>
    <cellStyle name=" Task]_x000d__x000a_TaskName=Scan At_x000d__x000a_TaskID=3_x000d__x000a_WorkstationName=SmarTone_x000d__x000a_LastExecuted=0_x000d__x000a_LastSt 5 13" xfId="87" xr:uid="{00000000-0005-0000-0000-00004E000000}"/>
    <cellStyle name=" Task]_x000d__x000a_TaskName=Scan At_x000d__x000a_TaskID=3_x000d__x000a_WorkstationName=SmarTone_x000d__x000a_LastExecuted=0_x000d__x000a_LastSt 5 14" xfId="88" xr:uid="{00000000-0005-0000-0000-00004F000000}"/>
    <cellStyle name=" Task]_x000d__x000a_TaskName=Scan At_x000d__x000a_TaskID=3_x000d__x000a_WorkstationName=SmarTone_x000d__x000a_LastExecuted=0_x000d__x000a_LastSt 5 15" xfId="89" xr:uid="{00000000-0005-0000-0000-000050000000}"/>
    <cellStyle name=" Task]_x000d__x000a_TaskName=Scan At_x000d__x000a_TaskID=3_x000d__x000a_WorkstationName=SmarTone_x000d__x000a_LastExecuted=0_x000d__x000a_LastSt 5 16" xfId="90" xr:uid="{00000000-0005-0000-0000-000051000000}"/>
    <cellStyle name=" Task]_x000d__x000a_TaskName=Scan At_x000d__x000a_TaskID=3_x000d__x000a_WorkstationName=SmarTone_x000d__x000a_LastExecuted=0_x000d__x000a_LastSt 5 17" xfId="91" xr:uid="{00000000-0005-0000-0000-000052000000}"/>
    <cellStyle name=" Task]_x000d__x000a_TaskName=Scan At_x000d__x000a_TaskID=3_x000d__x000a_WorkstationName=SmarTone_x000d__x000a_LastExecuted=0_x000d__x000a_LastSt 5 18" xfId="92" xr:uid="{00000000-0005-0000-0000-000053000000}"/>
    <cellStyle name=" Task]_x000d__x000a_TaskName=Scan At_x000d__x000a_TaskID=3_x000d__x000a_WorkstationName=SmarTone_x000d__x000a_LastExecuted=0_x000d__x000a_LastSt 5 19" xfId="93" xr:uid="{00000000-0005-0000-0000-000054000000}"/>
    <cellStyle name=" Task]_x000d__x000a_TaskName=Scan At_x000d__x000a_TaskID=3_x000d__x000a_WorkstationName=SmarTone_x000d__x000a_LastExecuted=0_x000d__x000a_LastSt 5 2" xfId="94" xr:uid="{00000000-0005-0000-0000-000055000000}"/>
    <cellStyle name=" Task]_x000d__x000a_TaskName=Scan At_x000d__x000a_TaskID=3_x000d__x000a_WorkstationName=SmarTone_x000d__x000a_LastExecuted=0_x000d__x000a_LastSt 5 20" xfId="95" xr:uid="{00000000-0005-0000-0000-000056000000}"/>
    <cellStyle name=" Task]_x000d__x000a_TaskName=Scan At_x000d__x000a_TaskID=3_x000d__x000a_WorkstationName=SmarTone_x000d__x000a_LastExecuted=0_x000d__x000a_LastSt 5 21" xfId="96" xr:uid="{00000000-0005-0000-0000-000057000000}"/>
    <cellStyle name=" Task]_x000d__x000a_TaskName=Scan At_x000d__x000a_TaskID=3_x000d__x000a_WorkstationName=SmarTone_x000d__x000a_LastExecuted=0_x000d__x000a_LastSt 5 22" xfId="97" xr:uid="{00000000-0005-0000-0000-000058000000}"/>
    <cellStyle name=" Task]_x000d__x000a_TaskName=Scan At_x000d__x000a_TaskID=3_x000d__x000a_WorkstationName=SmarTone_x000d__x000a_LastExecuted=0_x000d__x000a_LastSt 5 23" xfId="98" xr:uid="{00000000-0005-0000-0000-000059000000}"/>
    <cellStyle name=" Task]_x000d__x000a_TaskName=Scan At_x000d__x000a_TaskID=3_x000d__x000a_WorkstationName=SmarTone_x000d__x000a_LastExecuted=0_x000d__x000a_LastSt 5 3" xfId="99" xr:uid="{00000000-0005-0000-0000-00005A000000}"/>
    <cellStyle name=" Task]_x000d__x000a_TaskName=Scan At_x000d__x000a_TaskID=3_x000d__x000a_WorkstationName=SmarTone_x000d__x000a_LastExecuted=0_x000d__x000a_LastSt 5 4" xfId="100" xr:uid="{00000000-0005-0000-0000-00005B000000}"/>
    <cellStyle name=" Task]_x000d__x000a_TaskName=Scan At_x000d__x000a_TaskID=3_x000d__x000a_WorkstationName=SmarTone_x000d__x000a_LastExecuted=0_x000d__x000a_LastSt 5 5" xfId="101" xr:uid="{00000000-0005-0000-0000-00005C000000}"/>
    <cellStyle name=" Task]_x000d__x000a_TaskName=Scan At_x000d__x000a_TaskID=3_x000d__x000a_WorkstationName=SmarTone_x000d__x000a_LastExecuted=0_x000d__x000a_LastSt 5 6" xfId="102" xr:uid="{00000000-0005-0000-0000-00005D000000}"/>
    <cellStyle name=" Task]_x000d__x000a_TaskName=Scan At_x000d__x000a_TaskID=3_x000d__x000a_WorkstationName=SmarTone_x000d__x000a_LastExecuted=0_x000d__x000a_LastSt 5 7" xfId="103" xr:uid="{00000000-0005-0000-0000-00005E000000}"/>
    <cellStyle name=" Task]_x000d__x000a_TaskName=Scan At_x000d__x000a_TaskID=3_x000d__x000a_WorkstationName=SmarTone_x000d__x000a_LastExecuted=0_x000d__x000a_LastSt 5 8" xfId="104" xr:uid="{00000000-0005-0000-0000-00005F000000}"/>
    <cellStyle name=" Task]_x000d__x000a_TaskName=Scan At_x000d__x000a_TaskID=3_x000d__x000a_WorkstationName=SmarTone_x000d__x000a_LastExecuted=0_x000d__x000a_LastSt 5 9" xfId="105" xr:uid="{00000000-0005-0000-0000-000060000000}"/>
    <cellStyle name=" Task]_x000d__x000a_TaskName=Scan At_x000d__x000a_TaskID=3_x000d__x000a_WorkstationName=SmarTone_x000d__x000a_LastExecuted=0_x000d__x000a_LastSt 6" xfId="106" xr:uid="{00000000-0005-0000-0000-000061000000}"/>
    <cellStyle name=" Task]_x000d__x000a_TaskName=Scan At_x000d__x000a_TaskID=3_x000d__x000a_WorkstationName=SmarTone_x000d__x000a_LastExecuted=0_x000d__x000a_LastSt 6 10" xfId="107" xr:uid="{00000000-0005-0000-0000-000062000000}"/>
    <cellStyle name=" Task]_x000d__x000a_TaskName=Scan At_x000d__x000a_TaskID=3_x000d__x000a_WorkstationName=SmarTone_x000d__x000a_LastExecuted=0_x000d__x000a_LastSt 6 11" xfId="108" xr:uid="{00000000-0005-0000-0000-000063000000}"/>
    <cellStyle name=" Task]_x000d__x000a_TaskName=Scan At_x000d__x000a_TaskID=3_x000d__x000a_WorkstationName=SmarTone_x000d__x000a_LastExecuted=0_x000d__x000a_LastSt 6 12" xfId="109" xr:uid="{00000000-0005-0000-0000-000064000000}"/>
    <cellStyle name=" Task]_x000d__x000a_TaskName=Scan At_x000d__x000a_TaskID=3_x000d__x000a_WorkstationName=SmarTone_x000d__x000a_LastExecuted=0_x000d__x000a_LastSt 6 13" xfId="110" xr:uid="{00000000-0005-0000-0000-000065000000}"/>
    <cellStyle name=" Task]_x000d__x000a_TaskName=Scan At_x000d__x000a_TaskID=3_x000d__x000a_WorkstationName=SmarTone_x000d__x000a_LastExecuted=0_x000d__x000a_LastSt 6 14" xfId="111" xr:uid="{00000000-0005-0000-0000-000066000000}"/>
    <cellStyle name=" Task]_x000d__x000a_TaskName=Scan At_x000d__x000a_TaskID=3_x000d__x000a_WorkstationName=SmarTone_x000d__x000a_LastExecuted=0_x000d__x000a_LastSt 6 15" xfId="112" xr:uid="{00000000-0005-0000-0000-000067000000}"/>
    <cellStyle name=" Task]_x000d__x000a_TaskName=Scan At_x000d__x000a_TaskID=3_x000d__x000a_WorkstationName=SmarTone_x000d__x000a_LastExecuted=0_x000d__x000a_LastSt 6 16" xfId="113" xr:uid="{00000000-0005-0000-0000-000068000000}"/>
    <cellStyle name=" Task]_x000d__x000a_TaskName=Scan At_x000d__x000a_TaskID=3_x000d__x000a_WorkstationName=SmarTone_x000d__x000a_LastExecuted=0_x000d__x000a_LastSt 6 17" xfId="114" xr:uid="{00000000-0005-0000-0000-000069000000}"/>
    <cellStyle name=" Task]_x000d__x000a_TaskName=Scan At_x000d__x000a_TaskID=3_x000d__x000a_WorkstationName=SmarTone_x000d__x000a_LastExecuted=0_x000d__x000a_LastSt 6 18" xfId="115" xr:uid="{00000000-0005-0000-0000-00006A000000}"/>
    <cellStyle name=" Task]_x000d__x000a_TaskName=Scan At_x000d__x000a_TaskID=3_x000d__x000a_WorkstationName=SmarTone_x000d__x000a_LastExecuted=0_x000d__x000a_LastSt 6 19" xfId="116" xr:uid="{00000000-0005-0000-0000-00006B000000}"/>
    <cellStyle name=" Task]_x000d__x000a_TaskName=Scan At_x000d__x000a_TaskID=3_x000d__x000a_WorkstationName=SmarTone_x000d__x000a_LastExecuted=0_x000d__x000a_LastSt 6 2" xfId="117" xr:uid="{00000000-0005-0000-0000-00006C000000}"/>
    <cellStyle name=" Task]_x000d__x000a_TaskName=Scan At_x000d__x000a_TaskID=3_x000d__x000a_WorkstationName=SmarTone_x000d__x000a_LastExecuted=0_x000d__x000a_LastSt 6 20" xfId="118" xr:uid="{00000000-0005-0000-0000-00006D000000}"/>
    <cellStyle name=" Task]_x000d__x000a_TaskName=Scan At_x000d__x000a_TaskID=3_x000d__x000a_WorkstationName=SmarTone_x000d__x000a_LastExecuted=0_x000d__x000a_LastSt 6 21" xfId="119" xr:uid="{00000000-0005-0000-0000-00006E000000}"/>
    <cellStyle name=" Task]_x000d__x000a_TaskName=Scan At_x000d__x000a_TaskID=3_x000d__x000a_WorkstationName=SmarTone_x000d__x000a_LastExecuted=0_x000d__x000a_LastSt 6 22" xfId="120" xr:uid="{00000000-0005-0000-0000-00006F000000}"/>
    <cellStyle name=" Task]_x000d__x000a_TaskName=Scan At_x000d__x000a_TaskID=3_x000d__x000a_WorkstationName=SmarTone_x000d__x000a_LastExecuted=0_x000d__x000a_LastSt 6 23" xfId="121" xr:uid="{00000000-0005-0000-0000-000070000000}"/>
    <cellStyle name=" Task]_x000d__x000a_TaskName=Scan At_x000d__x000a_TaskID=3_x000d__x000a_WorkstationName=SmarTone_x000d__x000a_LastExecuted=0_x000d__x000a_LastSt 6 3" xfId="122" xr:uid="{00000000-0005-0000-0000-000071000000}"/>
    <cellStyle name=" Task]_x000d__x000a_TaskName=Scan At_x000d__x000a_TaskID=3_x000d__x000a_WorkstationName=SmarTone_x000d__x000a_LastExecuted=0_x000d__x000a_LastSt 6 4" xfId="123" xr:uid="{00000000-0005-0000-0000-000072000000}"/>
    <cellStyle name=" Task]_x000d__x000a_TaskName=Scan At_x000d__x000a_TaskID=3_x000d__x000a_WorkstationName=SmarTone_x000d__x000a_LastExecuted=0_x000d__x000a_LastSt 6 5" xfId="124" xr:uid="{00000000-0005-0000-0000-000073000000}"/>
    <cellStyle name=" Task]_x000d__x000a_TaskName=Scan At_x000d__x000a_TaskID=3_x000d__x000a_WorkstationName=SmarTone_x000d__x000a_LastExecuted=0_x000d__x000a_LastSt 6 6" xfId="125" xr:uid="{00000000-0005-0000-0000-000074000000}"/>
    <cellStyle name=" Task]_x000d__x000a_TaskName=Scan At_x000d__x000a_TaskID=3_x000d__x000a_WorkstationName=SmarTone_x000d__x000a_LastExecuted=0_x000d__x000a_LastSt 6 7" xfId="126" xr:uid="{00000000-0005-0000-0000-000075000000}"/>
    <cellStyle name=" Task]_x000d__x000a_TaskName=Scan At_x000d__x000a_TaskID=3_x000d__x000a_WorkstationName=SmarTone_x000d__x000a_LastExecuted=0_x000d__x000a_LastSt 6 8" xfId="127" xr:uid="{00000000-0005-0000-0000-000076000000}"/>
    <cellStyle name=" Task]_x000d__x000a_TaskName=Scan At_x000d__x000a_TaskID=3_x000d__x000a_WorkstationName=SmarTone_x000d__x000a_LastExecuted=0_x000d__x000a_LastSt 6 9" xfId="128" xr:uid="{00000000-0005-0000-0000-000077000000}"/>
    <cellStyle name=" Task]_x000d__x000a_TaskName=Scan At_x000d__x000a_TaskID=3_x000d__x000a_WorkstationName=SmarTone_x000d__x000a_LastExecuted=0_x000d__x000a_LastSt 7" xfId="129" xr:uid="{00000000-0005-0000-0000-000078000000}"/>
    <cellStyle name=" Task]_x000d__x000a_TaskName=Scan At_x000d__x000a_TaskID=3_x000d__x000a_WorkstationName=SmarTone_x000d__x000a_LastExecuted=0_x000d__x000a_LastSt_HARSHA-MIS DAILY TRACKER DEC'09" xfId="130" xr:uid="{00000000-0005-0000-0000-000079000000}"/>
    <cellStyle name="=C:\WINNT\SYSTEM32\COMMAND.COM" xfId="6" xr:uid="{00000000-0005-0000-0000-00007A000000}"/>
    <cellStyle name="=C:\WINNT\SYSTEM32\COMMAND.COM 10" xfId="131" xr:uid="{00000000-0005-0000-0000-00007B000000}"/>
    <cellStyle name="=C:\WINNT\SYSTEM32\COMMAND.COM 11" xfId="132" xr:uid="{00000000-0005-0000-0000-00007C000000}"/>
    <cellStyle name="=C:\WINNT\SYSTEM32\COMMAND.COM 12" xfId="133" xr:uid="{00000000-0005-0000-0000-00007D000000}"/>
    <cellStyle name="=C:\WINNT\SYSTEM32\COMMAND.COM 13" xfId="134" xr:uid="{00000000-0005-0000-0000-00007E000000}"/>
    <cellStyle name="=C:\WINNT\SYSTEM32\COMMAND.COM 14" xfId="135" xr:uid="{00000000-0005-0000-0000-00007F000000}"/>
    <cellStyle name="=C:\WINNT\SYSTEM32\COMMAND.COM 15" xfId="136" xr:uid="{00000000-0005-0000-0000-000080000000}"/>
    <cellStyle name="=C:\WINNT\SYSTEM32\COMMAND.COM 16" xfId="137" xr:uid="{00000000-0005-0000-0000-000081000000}"/>
    <cellStyle name="=C:\WINNT\SYSTEM32\COMMAND.COM 17" xfId="138" xr:uid="{00000000-0005-0000-0000-000082000000}"/>
    <cellStyle name="=C:\WINNT\SYSTEM32\COMMAND.COM 18" xfId="139" xr:uid="{00000000-0005-0000-0000-000083000000}"/>
    <cellStyle name="=C:\WINNT\SYSTEM32\COMMAND.COM 19" xfId="140" xr:uid="{00000000-0005-0000-0000-000084000000}"/>
    <cellStyle name="=C:\WINNT\SYSTEM32\COMMAND.COM 2" xfId="8" xr:uid="{00000000-0005-0000-0000-000085000000}"/>
    <cellStyle name="=C:\WINNT\SYSTEM32\COMMAND.COM 2 2" xfId="141" xr:uid="{00000000-0005-0000-0000-000086000000}"/>
    <cellStyle name="=C:\WINNT\SYSTEM32\COMMAND.COM 20" xfId="142" xr:uid="{00000000-0005-0000-0000-000087000000}"/>
    <cellStyle name="=C:\WINNT\SYSTEM32\COMMAND.COM 21" xfId="143" xr:uid="{00000000-0005-0000-0000-000088000000}"/>
    <cellStyle name="=C:\WINNT\SYSTEM32\COMMAND.COM 22" xfId="144" xr:uid="{00000000-0005-0000-0000-000089000000}"/>
    <cellStyle name="=C:\WINNT\SYSTEM32\COMMAND.COM 23" xfId="145" xr:uid="{00000000-0005-0000-0000-00008A000000}"/>
    <cellStyle name="=C:\WINNT\SYSTEM32\COMMAND.COM 24" xfId="146" xr:uid="{00000000-0005-0000-0000-00008B000000}"/>
    <cellStyle name="=C:\WINNT\SYSTEM32\COMMAND.COM 25" xfId="147" xr:uid="{00000000-0005-0000-0000-00008C000000}"/>
    <cellStyle name="=C:\WINNT\SYSTEM32\COMMAND.COM 26" xfId="148" xr:uid="{00000000-0005-0000-0000-00008D000000}"/>
    <cellStyle name="=C:\WINNT\SYSTEM32\COMMAND.COM 27" xfId="149" xr:uid="{00000000-0005-0000-0000-00008E000000}"/>
    <cellStyle name="=C:\WINNT\SYSTEM32\COMMAND.COM 28" xfId="150" xr:uid="{00000000-0005-0000-0000-00008F000000}"/>
    <cellStyle name="=C:\WINNT\SYSTEM32\COMMAND.COM 29" xfId="151" xr:uid="{00000000-0005-0000-0000-000090000000}"/>
    <cellStyle name="=C:\WINNT\SYSTEM32\COMMAND.COM 3" xfId="152" xr:uid="{00000000-0005-0000-0000-000091000000}"/>
    <cellStyle name="=C:\WINNT\SYSTEM32\COMMAND.COM 30" xfId="153" xr:uid="{00000000-0005-0000-0000-000092000000}"/>
    <cellStyle name="=C:\WINNT\SYSTEM32\COMMAND.COM 31" xfId="154" xr:uid="{00000000-0005-0000-0000-000093000000}"/>
    <cellStyle name="=C:\WINNT\SYSTEM32\COMMAND.COM 32" xfId="155" xr:uid="{00000000-0005-0000-0000-000094000000}"/>
    <cellStyle name="=C:\WINNT\SYSTEM32\COMMAND.COM 33" xfId="156" xr:uid="{00000000-0005-0000-0000-000095000000}"/>
    <cellStyle name="=C:\WINNT\SYSTEM32\COMMAND.COM 34" xfId="157" xr:uid="{00000000-0005-0000-0000-000096000000}"/>
    <cellStyle name="=C:\WINNT\SYSTEM32\COMMAND.COM 35" xfId="158" xr:uid="{00000000-0005-0000-0000-000097000000}"/>
    <cellStyle name="=C:\WINNT\SYSTEM32\COMMAND.COM 36" xfId="159" xr:uid="{00000000-0005-0000-0000-000098000000}"/>
    <cellStyle name="=C:\WINNT\SYSTEM32\COMMAND.COM 37" xfId="160" xr:uid="{00000000-0005-0000-0000-000099000000}"/>
    <cellStyle name="=C:\WINNT\SYSTEM32\COMMAND.COM 38" xfId="161" xr:uid="{00000000-0005-0000-0000-00009A000000}"/>
    <cellStyle name="=C:\WINNT\SYSTEM32\COMMAND.COM 39" xfId="162" xr:uid="{00000000-0005-0000-0000-00009B000000}"/>
    <cellStyle name="=C:\WINNT\SYSTEM32\COMMAND.COM 4" xfId="163" xr:uid="{00000000-0005-0000-0000-00009C000000}"/>
    <cellStyle name="=C:\WINNT\SYSTEM32\COMMAND.COM 40" xfId="164" xr:uid="{00000000-0005-0000-0000-00009D000000}"/>
    <cellStyle name="=C:\WINNT\SYSTEM32\COMMAND.COM 41" xfId="165" xr:uid="{00000000-0005-0000-0000-00009E000000}"/>
    <cellStyle name="=C:\WINNT\SYSTEM32\COMMAND.COM 42" xfId="166" xr:uid="{00000000-0005-0000-0000-00009F000000}"/>
    <cellStyle name="=C:\WINNT\SYSTEM32\COMMAND.COM 43" xfId="167" xr:uid="{00000000-0005-0000-0000-0000A0000000}"/>
    <cellStyle name="=C:\WINNT\SYSTEM32\COMMAND.COM 44" xfId="168" xr:uid="{00000000-0005-0000-0000-0000A1000000}"/>
    <cellStyle name="=C:\WINNT\SYSTEM32\COMMAND.COM 45" xfId="169" xr:uid="{00000000-0005-0000-0000-0000A2000000}"/>
    <cellStyle name="=C:\WINNT\SYSTEM32\COMMAND.COM 46" xfId="170" xr:uid="{00000000-0005-0000-0000-0000A3000000}"/>
    <cellStyle name="=C:\WINNT\SYSTEM32\COMMAND.COM 47" xfId="171" xr:uid="{00000000-0005-0000-0000-0000A4000000}"/>
    <cellStyle name="=C:\WINNT\SYSTEM32\COMMAND.COM 48" xfId="172" xr:uid="{00000000-0005-0000-0000-0000A5000000}"/>
    <cellStyle name="=C:\WINNT\SYSTEM32\COMMAND.COM 5" xfId="173" xr:uid="{00000000-0005-0000-0000-0000A6000000}"/>
    <cellStyle name="=C:\WINNT\SYSTEM32\COMMAND.COM 6" xfId="174" xr:uid="{00000000-0005-0000-0000-0000A7000000}"/>
    <cellStyle name="=C:\WINNT\SYSTEM32\COMMAND.COM 7" xfId="175" xr:uid="{00000000-0005-0000-0000-0000A8000000}"/>
    <cellStyle name="=C:\WINNT\SYSTEM32\COMMAND.COM 8" xfId="176" xr:uid="{00000000-0005-0000-0000-0000A9000000}"/>
    <cellStyle name="=C:\WINNT\SYSTEM32\COMMAND.COM 9" xfId="177" xr:uid="{00000000-0005-0000-0000-0000AA000000}"/>
    <cellStyle name="=C:\WINNT\SYSTEM32\COMMAND.COM_FUND SHEET (DAISY) 03 AUG-11" xfId="178" xr:uid="{00000000-0005-0000-0000-0000AB000000}"/>
    <cellStyle name="=F:\WINNT\SYSTEM32\COMMAND.COM" xfId="4" xr:uid="{00000000-0005-0000-0000-0000AC000000}"/>
    <cellStyle name="Comma 2" xfId="179" xr:uid="{00000000-0005-0000-0000-0000AD000000}"/>
    <cellStyle name="Custom - Style8" xfId="180" xr:uid="{00000000-0005-0000-0000-0000AE000000}"/>
    <cellStyle name="Excel Built-in Normal" xfId="181" xr:uid="{00000000-0005-0000-0000-0000AF000000}"/>
    <cellStyle name="Hyperlink" xfId="7" builtinId="8"/>
    <cellStyle name="Nor}al" xfId="182" xr:uid="{00000000-0005-0000-0000-0000B1000000}"/>
    <cellStyle name="Nor}al 10" xfId="183" xr:uid="{00000000-0005-0000-0000-0000B2000000}"/>
    <cellStyle name="Nor}al 2" xfId="184" xr:uid="{00000000-0005-0000-0000-0000B3000000}"/>
    <cellStyle name="Normal" xfId="0" builtinId="0"/>
    <cellStyle name="Normal 10" xfId="185" xr:uid="{00000000-0005-0000-0000-0000B5000000}"/>
    <cellStyle name="Normal 11" xfId="186" xr:uid="{00000000-0005-0000-0000-0000B6000000}"/>
    <cellStyle name="Normal 12" xfId="187" xr:uid="{00000000-0005-0000-0000-0000B7000000}"/>
    <cellStyle name="Normal 13" xfId="188" xr:uid="{00000000-0005-0000-0000-0000B8000000}"/>
    <cellStyle name="Normal 14" xfId="189" xr:uid="{00000000-0005-0000-0000-0000B9000000}"/>
    <cellStyle name="Normal 15" xfId="190" xr:uid="{00000000-0005-0000-0000-0000BA000000}"/>
    <cellStyle name="Normal 16" xfId="191" xr:uid="{00000000-0005-0000-0000-0000BB000000}"/>
    <cellStyle name="Normal 17" xfId="192" xr:uid="{00000000-0005-0000-0000-0000BC000000}"/>
    <cellStyle name="Normal 18" xfId="193" xr:uid="{00000000-0005-0000-0000-0000BD000000}"/>
    <cellStyle name="Normal 19" xfId="194" xr:uid="{00000000-0005-0000-0000-0000BE000000}"/>
    <cellStyle name="Normal 2" xfId="1" xr:uid="{00000000-0005-0000-0000-0000BF000000}"/>
    <cellStyle name="Normal 2 10" xfId="195" xr:uid="{00000000-0005-0000-0000-0000C0000000}"/>
    <cellStyle name="Normal 2 2" xfId="437" xr:uid="{00000000-0005-0000-0000-0000C1000000}"/>
    <cellStyle name="Normal 2 47" xfId="196" xr:uid="{00000000-0005-0000-0000-0000C2000000}"/>
    <cellStyle name="Normal 20" xfId="197" xr:uid="{00000000-0005-0000-0000-0000C3000000}"/>
    <cellStyle name="Normal 21" xfId="198" xr:uid="{00000000-0005-0000-0000-0000C4000000}"/>
    <cellStyle name="Normal 22" xfId="199" xr:uid="{00000000-0005-0000-0000-0000C5000000}"/>
    <cellStyle name="Normal 23" xfId="200" xr:uid="{00000000-0005-0000-0000-0000C6000000}"/>
    <cellStyle name="Normal 24" xfId="201" xr:uid="{00000000-0005-0000-0000-0000C7000000}"/>
    <cellStyle name="Normal 25" xfId="202" xr:uid="{00000000-0005-0000-0000-0000C8000000}"/>
    <cellStyle name="Normal 26" xfId="203" xr:uid="{00000000-0005-0000-0000-0000C9000000}"/>
    <cellStyle name="Normal 27" xfId="204" xr:uid="{00000000-0005-0000-0000-0000CA000000}"/>
    <cellStyle name="Normal 28" xfId="205" xr:uid="{00000000-0005-0000-0000-0000CB000000}"/>
    <cellStyle name="Normal 29" xfId="206" xr:uid="{00000000-0005-0000-0000-0000CC000000}"/>
    <cellStyle name="Normal 3" xfId="2" xr:uid="{00000000-0005-0000-0000-0000CD000000}"/>
    <cellStyle name="Normal 3 2" xfId="207" xr:uid="{00000000-0005-0000-0000-0000CE000000}"/>
    <cellStyle name="Normal 30" xfId="208" xr:uid="{00000000-0005-0000-0000-0000CF000000}"/>
    <cellStyle name="Normal 31" xfId="209" xr:uid="{00000000-0005-0000-0000-0000D0000000}"/>
    <cellStyle name="Normal 32" xfId="210" xr:uid="{00000000-0005-0000-0000-0000D1000000}"/>
    <cellStyle name="Normal 33" xfId="211" xr:uid="{00000000-0005-0000-0000-0000D2000000}"/>
    <cellStyle name="Normal 4" xfId="3" xr:uid="{00000000-0005-0000-0000-0000D3000000}"/>
    <cellStyle name="Normal 4 10" xfId="212" xr:uid="{00000000-0005-0000-0000-0000D4000000}"/>
    <cellStyle name="Normal 4 11" xfId="213" xr:uid="{00000000-0005-0000-0000-0000D5000000}"/>
    <cellStyle name="Normal 4 12" xfId="214" xr:uid="{00000000-0005-0000-0000-0000D6000000}"/>
    <cellStyle name="Normal 4 13" xfId="215" xr:uid="{00000000-0005-0000-0000-0000D7000000}"/>
    <cellStyle name="Normal 4 14" xfId="216" xr:uid="{00000000-0005-0000-0000-0000D8000000}"/>
    <cellStyle name="Normal 4 15" xfId="217" xr:uid="{00000000-0005-0000-0000-0000D9000000}"/>
    <cellStyle name="Normal 4 16" xfId="218" xr:uid="{00000000-0005-0000-0000-0000DA000000}"/>
    <cellStyle name="Normal 4 17" xfId="219" xr:uid="{00000000-0005-0000-0000-0000DB000000}"/>
    <cellStyle name="Normal 4 18" xfId="220" xr:uid="{00000000-0005-0000-0000-0000DC000000}"/>
    <cellStyle name="Normal 4 19" xfId="221" xr:uid="{00000000-0005-0000-0000-0000DD000000}"/>
    <cellStyle name="Normal 4 2" xfId="222" xr:uid="{00000000-0005-0000-0000-0000DE000000}"/>
    <cellStyle name="Normal 4 2 10" xfId="223" xr:uid="{00000000-0005-0000-0000-0000DF000000}"/>
    <cellStyle name="Normal 4 2 11" xfId="224" xr:uid="{00000000-0005-0000-0000-0000E0000000}"/>
    <cellStyle name="Normal 4 2 12" xfId="225" xr:uid="{00000000-0005-0000-0000-0000E1000000}"/>
    <cellStyle name="Normal 4 2 13" xfId="226" xr:uid="{00000000-0005-0000-0000-0000E2000000}"/>
    <cellStyle name="Normal 4 2 14" xfId="227" xr:uid="{00000000-0005-0000-0000-0000E3000000}"/>
    <cellStyle name="Normal 4 2 15" xfId="228" xr:uid="{00000000-0005-0000-0000-0000E4000000}"/>
    <cellStyle name="Normal 4 2 16" xfId="229" xr:uid="{00000000-0005-0000-0000-0000E5000000}"/>
    <cellStyle name="Normal 4 2 17" xfId="230" xr:uid="{00000000-0005-0000-0000-0000E6000000}"/>
    <cellStyle name="Normal 4 2 18" xfId="231" xr:uid="{00000000-0005-0000-0000-0000E7000000}"/>
    <cellStyle name="Normal 4 2 19" xfId="232" xr:uid="{00000000-0005-0000-0000-0000E8000000}"/>
    <cellStyle name="Normal 4 2 2" xfId="233" xr:uid="{00000000-0005-0000-0000-0000E9000000}"/>
    <cellStyle name="Normal 4 2 3" xfId="234" xr:uid="{00000000-0005-0000-0000-0000EA000000}"/>
    <cellStyle name="Normal 4 2 4" xfId="235" xr:uid="{00000000-0005-0000-0000-0000EB000000}"/>
    <cellStyle name="Normal 4 2 5" xfId="236" xr:uid="{00000000-0005-0000-0000-0000EC000000}"/>
    <cellStyle name="Normal 4 2 6" xfId="237" xr:uid="{00000000-0005-0000-0000-0000ED000000}"/>
    <cellStyle name="Normal 4 2 7" xfId="238" xr:uid="{00000000-0005-0000-0000-0000EE000000}"/>
    <cellStyle name="Normal 4 2 8" xfId="239" xr:uid="{00000000-0005-0000-0000-0000EF000000}"/>
    <cellStyle name="Normal 4 2 9" xfId="240" xr:uid="{00000000-0005-0000-0000-0000F0000000}"/>
    <cellStyle name="Normal 4 2_JAYAPRAKASH MIS" xfId="241" xr:uid="{00000000-0005-0000-0000-0000F1000000}"/>
    <cellStyle name="Normal 4 20" xfId="242" xr:uid="{00000000-0005-0000-0000-0000F2000000}"/>
    <cellStyle name="Normal 4 21" xfId="243" xr:uid="{00000000-0005-0000-0000-0000F3000000}"/>
    <cellStyle name="Normal 4 22" xfId="244" xr:uid="{00000000-0005-0000-0000-0000F4000000}"/>
    <cellStyle name="Normal 4 23" xfId="245" xr:uid="{00000000-0005-0000-0000-0000F5000000}"/>
    <cellStyle name="Normal 4 3" xfId="246" xr:uid="{00000000-0005-0000-0000-0000F6000000}"/>
    <cellStyle name="Normal 4 3 10" xfId="247" xr:uid="{00000000-0005-0000-0000-0000F7000000}"/>
    <cellStyle name="Normal 4 3 11" xfId="248" xr:uid="{00000000-0005-0000-0000-0000F8000000}"/>
    <cellStyle name="Normal 4 3 12" xfId="249" xr:uid="{00000000-0005-0000-0000-0000F9000000}"/>
    <cellStyle name="Normal 4 3 13" xfId="250" xr:uid="{00000000-0005-0000-0000-0000FA000000}"/>
    <cellStyle name="Normal 4 3 14" xfId="251" xr:uid="{00000000-0005-0000-0000-0000FB000000}"/>
    <cellStyle name="Normal 4 3 15" xfId="252" xr:uid="{00000000-0005-0000-0000-0000FC000000}"/>
    <cellStyle name="Normal 4 3 16" xfId="253" xr:uid="{00000000-0005-0000-0000-0000FD000000}"/>
    <cellStyle name="Normal 4 3 17" xfId="254" xr:uid="{00000000-0005-0000-0000-0000FE000000}"/>
    <cellStyle name="Normal 4 3 18" xfId="255" xr:uid="{00000000-0005-0000-0000-0000FF000000}"/>
    <cellStyle name="Normal 4 3 19" xfId="256" xr:uid="{00000000-0005-0000-0000-000000010000}"/>
    <cellStyle name="Normal 4 3 2" xfId="257" xr:uid="{00000000-0005-0000-0000-000001010000}"/>
    <cellStyle name="Normal 4 3 3" xfId="258" xr:uid="{00000000-0005-0000-0000-000002010000}"/>
    <cellStyle name="Normal 4 3 4" xfId="259" xr:uid="{00000000-0005-0000-0000-000003010000}"/>
    <cellStyle name="Normal 4 3 5" xfId="260" xr:uid="{00000000-0005-0000-0000-000004010000}"/>
    <cellStyle name="Normal 4 3 6" xfId="261" xr:uid="{00000000-0005-0000-0000-000005010000}"/>
    <cellStyle name="Normal 4 3 7" xfId="262" xr:uid="{00000000-0005-0000-0000-000006010000}"/>
    <cellStyle name="Normal 4 3 8" xfId="263" xr:uid="{00000000-0005-0000-0000-000007010000}"/>
    <cellStyle name="Normal 4 3 9" xfId="264" xr:uid="{00000000-0005-0000-0000-000008010000}"/>
    <cellStyle name="Normal 4 3_JAYAPRAKASH MIS" xfId="265" xr:uid="{00000000-0005-0000-0000-000009010000}"/>
    <cellStyle name="Normal 4 4" xfId="266" xr:uid="{00000000-0005-0000-0000-00000A010000}"/>
    <cellStyle name="Normal 4 4 10" xfId="267" xr:uid="{00000000-0005-0000-0000-00000B010000}"/>
    <cellStyle name="Normal 4 4 11" xfId="268" xr:uid="{00000000-0005-0000-0000-00000C010000}"/>
    <cellStyle name="Normal 4 4 12" xfId="269" xr:uid="{00000000-0005-0000-0000-00000D010000}"/>
    <cellStyle name="Normal 4 4 13" xfId="270" xr:uid="{00000000-0005-0000-0000-00000E010000}"/>
    <cellStyle name="Normal 4 4 14" xfId="271" xr:uid="{00000000-0005-0000-0000-00000F010000}"/>
    <cellStyle name="Normal 4 4 15" xfId="272" xr:uid="{00000000-0005-0000-0000-000010010000}"/>
    <cellStyle name="Normal 4 4 16" xfId="273" xr:uid="{00000000-0005-0000-0000-000011010000}"/>
    <cellStyle name="Normal 4 4 17" xfId="274" xr:uid="{00000000-0005-0000-0000-000012010000}"/>
    <cellStyle name="Normal 4 4 18" xfId="275" xr:uid="{00000000-0005-0000-0000-000013010000}"/>
    <cellStyle name="Normal 4 4 19" xfId="276" xr:uid="{00000000-0005-0000-0000-000014010000}"/>
    <cellStyle name="Normal 4 4 2" xfId="277" xr:uid="{00000000-0005-0000-0000-000015010000}"/>
    <cellStyle name="Normal 4 4 3" xfId="278" xr:uid="{00000000-0005-0000-0000-000016010000}"/>
    <cellStyle name="Normal 4 4 4" xfId="279" xr:uid="{00000000-0005-0000-0000-000017010000}"/>
    <cellStyle name="Normal 4 4 5" xfId="280" xr:uid="{00000000-0005-0000-0000-000018010000}"/>
    <cellStyle name="Normal 4 4 6" xfId="281" xr:uid="{00000000-0005-0000-0000-000019010000}"/>
    <cellStyle name="Normal 4 4 7" xfId="282" xr:uid="{00000000-0005-0000-0000-00001A010000}"/>
    <cellStyle name="Normal 4 4 8" xfId="283" xr:uid="{00000000-0005-0000-0000-00001B010000}"/>
    <cellStyle name="Normal 4 4 9" xfId="284" xr:uid="{00000000-0005-0000-0000-00001C010000}"/>
    <cellStyle name="Normal 4 4_JAYAPRAKASH MIS" xfId="285" xr:uid="{00000000-0005-0000-0000-00001D010000}"/>
    <cellStyle name="Normal 4 5" xfId="286" xr:uid="{00000000-0005-0000-0000-00001E010000}"/>
    <cellStyle name="Normal 4 5 10" xfId="287" xr:uid="{00000000-0005-0000-0000-00001F010000}"/>
    <cellStyle name="Normal 4 5 11" xfId="288" xr:uid="{00000000-0005-0000-0000-000020010000}"/>
    <cellStyle name="Normal 4 5 12" xfId="289" xr:uid="{00000000-0005-0000-0000-000021010000}"/>
    <cellStyle name="Normal 4 5 13" xfId="290" xr:uid="{00000000-0005-0000-0000-000022010000}"/>
    <cellStyle name="Normal 4 5 14" xfId="291" xr:uid="{00000000-0005-0000-0000-000023010000}"/>
    <cellStyle name="Normal 4 5 15" xfId="292" xr:uid="{00000000-0005-0000-0000-000024010000}"/>
    <cellStyle name="Normal 4 5 16" xfId="293" xr:uid="{00000000-0005-0000-0000-000025010000}"/>
    <cellStyle name="Normal 4 5 17" xfId="294" xr:uid="{00000000-0005-0000-0000-000026010000}"/>
    <cellStyle name="Normal 4 5 18" xfId="295" xr:uid="{00000000-0005-0000-0000-000027010000}"/>
    <cellStyle name="Normal 4 5 19" xfId="296" xr:uid="{00000000-0005-0000-0000-000028010000}"/>
    <cellStyle name="Normal 4 5 2" xfId="297" xr:uid="{00000000-0005-0000-0000-000029010000}"/>
    <cellStyle name="Normal 4 5 3" xfId="298" xr:uid="{00000000-0005-0000-0000-00002A010000}"/>
    <cellStyle name="Normal 4 5 4" xfId="299" xr:uid="{00000000-0005-0000-0000-00002B010000}"/>
    <cellStyle name="Normal 4 5 5" xfId="300" xr:uid="{00000000-0005-0000-0000-00002C010000}"/>
    <cellStyle name="Normal 4 5 6" xfId="301" xr:uid="{00000000-0005-0000-0000-00002D010000}"/>
    <cellStyle name="Normal 4 5 7" xfId="302" xr:uid="{00000000-0005-0000-0000-00002E010000}"/>
    <cellStyle name="Normal 4 5 8" xfId="303" xr:uid="{00000000-0005-0000-0000-00002F010000}"/>
    <cellStyle name="Normal 4 5 9" xfId="304" xr:uid="{00000000-0005-0000-0000-000030010000}"/>
    <cellStyle name="Normal 4 5_JAYAPRAKASH MIS" xfId="305" xr:uid="{00000000-0005-0000-0000-000031010000}"/>
    <cellStyle name="Normal 4 6" xfId="306" xr:uid="{00000000-0005-0000-0000-000032010000}"/>
    <cellStyle name="Normal 4 7" xfId="307" xr:uid="{00000000-0005-0000-0000-000033010000}"/>
    <cellStyle name="Normal 4 8" xfId="308" xr:uid="{00000000-0005-0000-0000-000034010000}"/>
    <cellStyle name="Normal 4 9" xfId="309" xr:uid="{00000000-0005-0000-0000-000035010000}"/>
    <cellStyle name="Normal 4_JAYAPRAKASH MIS" xfId="310" xr:uid="{00000000-0005-0000-0000-000036010000}"/>
    <cellStyle name="Normal 5" xfId="311" xr:uid="{00000000-0005-0000-0000-000037010000}"/>
    <cellStyle name="Normal 5 2" xfId="312" xr:uid="{00000000-0005-0000-0000-000038010000}"/>
    <cellStyle name="Normal 6" xfId="313" xr:uid="{00000000-0005-0000-0000-000039010000}"/>
    <cellStyle name="Normal 7" xfId="314" xr:uid="{00000000-0005-0000-0000-00003A010000}"/>
    <cellStyle name="Normal 8" xfId="315" xr:uid="{00000000-0005-0000-0000-00003B010000}"/>
    <cellStyle name="Normal 9" xfId="316" xr:uid="{00000000-0005-0000-0000-00003C010000}"/>
    <cellStyle name="Normal_Sheet1" xfId="5" xr:uid="{00000000-0005-0000-0000-00003D010000}"/>
    <cellStyle name="Percent" xfId="438" builtinId="5"/>
    <cellStyle name="Style 1" xfId="317" xr:uid="{00000000-0005-0000-0000-00003F010000}"/>
    <cellStyle name="Style 1 2" xfId="318" xr:uid="{00000000-0005-0000-0000-000040010000}"/>
    <cellStyle name="Style 1 2 10" xfId="319" xr:uid="{00000000-0005-0000-0000-000041010000}"/>
    <cellStyle name="Style 1 2 11" xfId="320" xr:uid="{00000000-0005-0000-0000-000042010000}"/>
    <cellStyle name="Style 1 2 12" xfId="321" xr:uid="{00000000-0005-0000-0000-000043010000}"/>
    <cellStyle name="Style 1 2 13" xfId="322" xr:uid="{00000000-0005-0000-0000-000044010000}"/>
    <cellStyle name="Style 1 2 14" xfId="323" xr:uid="{00000000-0005-0000-0000-000045010000}"/>
    <cellStyle name="Style 1 2 15" xfId="324" xr:uid="{00000000-0005-0000-0000-000046010000}"/>
    <cellStyle name="Style 1 2 16" xfId="325" xr:uid="{00000000-0005-0000-0000-000047010000}"/>
    <cellStyle name="Style 1 2 17" xfId="326" xr:uid="{00000000-0005-0000-0000-000048010000}"/>
    <cellStyle name="Style 1 2 18" xfId="327" xr:uid="{00000000-0005-0000-0000-000049010000}"/>
    <cellStyle name="Style 1 2 19" xfId="328" xr:uid="{00000000-0005-0000-0000-00004A010000}"/>
    <cellStyle name="Style 1 2 2" xfId="329" xr:uid="{00000000-0005-0000-0000-00004B010000}"/>
    <cellStyle name="Style 1 2 20" xfId="330" xr:uid="{00000000-0005-0000-0000-00004C010000}"/>
    <cellStyle name="Style 1 2 21" xfId="331" xr:uid="{00000000-0005-0000-0000-00004D010000}"/>
    <cellStyle name="Style 1 2 22" xfId="332" xr:uid="{00000000-0005-0000-0000-00004E010000}"/>
    <cellStyle name="Style 1 2 23" xfId="333" xr:uid="{00000000-0005-0000-0000-00004F010000}"/>
    <cellStyle name="Style 1 2 24" xfId="334" xr:uid="{00000000-0005-0000-0000-000050010000}"/>
    <cellStyle name="Style 1 2 25" xfId="335" xr:uid="{00000000-0005-0000-0000-000051010000}"/>
    <cellStyle name="Style 1 2 26" xfId="336" xr:uid="{00000000-0005-0000-0000-000052010000}"/>
    <cellStyle name="Style 1 2 27" xfId="337" xr:uid="{00000000-0005-0000-0000-000053010000}"/>
    <cellStyle name="Style 1 2 3" xfId="338" xr:uid="{00000000-0005-0000-0000-000054010000}"/>
    <cellStyle name="Style 1 2 4" xfId="339" xr:uid="{00000000-0005-0000-0000-000055010000}"/>
    <cellStyle name="Style 1 2 5" xfId="340" xr:uid="{00000000-0005-0000-0000-000056010000}"/>
    <cellStyle name="Style 1 2 6" xfId="341" xr:uid="{00000000-0005-0000-0000-000057010000}"/>
    <cellStyle name="Style 1 2 7" xfId="342" xr:uid="{00000000-0005-0000-0000-000058010000}"/>
    <cellStyle name="Style 1 2 8" xfId="343" xr:uid="{00000000-0005-0000-0000-000059010000}"/>
    <cellStyle name="Style 1 2 9" xfId="344" xr:uid="{00000000-0005-0000-0000-00005A010000}"/>
    <cellStyle name="Style 1 3" xfId="345" xr:uid="{00000000-0005-0000-0000-00005B010000}"/>
    <cellStyle name="Style 1 3 10" xfId="346" xr:uid="{00000000-0005-0000-0000-00005C010000}"/>
    <cellStyle name="Style 1 3 11" xfId="347" xr:uid="{00000000-0005-0000-0000-00005D010000}"/>
    <cellStyle name="Style 1 3 12" xfId="348" xr:uid="{00000000-0005-0000-0000-00005E010000}"/>
    <cellStyle name="Style 1 3 13" xfId="349" xr:uid="{00000000-0005-0000-0000-00005F010000}"/>
    <cellStyle name="Style 1 3 14" xfId="350" xr:uid="{00000000-0005-0000-0000-000060010000}"/>
    <cellStyle name="Style 1 3 15" xfId="351" xr:uid="{00000000-0005-0000-0000-000061010000}"/>
    <cellStyle name="Style 1 3 16" xfId="352" xr:uid="{00000000-0005-0000-0000-000062010000}"/>
    <cellStyle name="Style 1 3 17" xfId="353" xr:uid="{00000000-0005-0000-0000-000063010000}"/>
    <cellStyle name="Style 1 3 18" xfId="354" xr:uid="{00000000-0005-0000-0000-000064010000}"/>
    <cellStyle name="Style 1 3 19" xfId="355" xr:uid="{00000000-0005-0000-0000-000065010000}"/>
    <cellStyle name="Style 1 3 2" xfId="356" xr:uid="{00000000-0005-0000-0000-000066010000}"/>
    <cellStyle name="Style 1 3 20" xfId="357" xr:uid="{00000000-0005-0000-0000-000067010000}"/>
    <cellStyle name="Style 1 3 21" xfId="358" xr:uid="{00000000-0005-0000-0000-000068010000}"/>
    <cellStyle name="Style 1 3 22" xfId="359" xr:uid="{00000000-0005-0000-0000-000069010000}"/>
    <cellStyle name="Style 1 3 23" xfId="360" xr:uid="{00000000-0005-0000-0000-00006A010000}"/>
    <cellStyle name="Style 1 3 3" xfId="361" xr:uid="{00000000-0005-0000-0000-00006B010000}"/>
    <cellStyle name="Style 1 3 4" xfId="362" xr:uid="{00000000-0005-0000-0000-00006C010000}"/>
    <cellStyle name="Style 1 3 5" xfId="363" xr:uid="{00000000-0005-0000-0000-00006D010000}"/>
    <cellStyle name="Style 1 3 6" xfId="364" xr:uid="{00000000-0005-0000-0000-00006E010000}"/>
    <cellStyle name="Style 1 3 7" xfId="365" xr:uid="{00000000-0005-0000-0000-00006F010000}"/>
    <cellStyle name="Style 1 3 8" xfId="366" xr:uid="{00000000-0005-0000-0000-000070010000}"/>
    <cellStyle name="Style 1 3 9" xfId="367" xr:uid="{00000000-0005-0000-0000-000071010000}"/>
    <cellStyle name="Style 1 4" xfId="368" xr:uid="{00000000-0005-0000-0000-000072010000}"/>
    <cellStyle name="Style 1 4 10" xfId="369" xr:uid="{00000000-0005-0000-0000-000073010000}"/>
    <cellStyle name="Style 1 4 11" xfId="370" xr:uid="{00000000-0005-0000-0000-000074010000}"/>
    <cellStyle name="Style 1 4 12" xfId="371" xr:uid="{00000000-0005-0000-0000-000075010000}"/>
    <cellStyle name="Style 1 4 13" xfId="372" xr:uid="{00000000-0005-0000-0000-000076010000}"/>
    <cellStyle name="Style 1 4 14" xfId="373" xr:uid="{00000000-0005-0000-0000-000077010000}"/>
    <cellStyle name="Style 1 4 15" xfId="374" xr:uid="{00000000-0005-0000-0000-000078010000}"/>
    <cellStyle name="Style 1 4 16" xfId="375" xr:uid="{00000000-0005-0000-0000-000079010000}"/>
    <cellStyle name="Style 1 4 17" xfId="376" xr:uid="{00000000-0005-0000-0000-00007A010000}"/>
    <cellStyle name="Style 1 4 18" xfId="377" xr:uid="{00000000-0005-0000-0000-00007B010000}"/>
    <cellStyle name="Style 1 4 19" xfId="378" xr:uid="{00000000-0005-0000-0000-00007C010000}"/>
    <cellStyle name="Style 1 4 2" xfId="379" xr:uid="{00000000-0005-0000-0000-00007D010000}"/>
    <cellStyle name="Style 1 4 20" xfId="380" xr:uid="{00000000-0005-0000-0000-00007E010000}"/>
    <cellStyle name="Style 1 4 21" xfId="381" xr:uid="{00000000-0005-0000-0000-00007F010000}"/>
    <cellStyle name="Style 1 4 22" xfId="382" xr:uid="{00000000-0005-0000-0000-000080010000}"/>
    <cellStyle name="Style 1 4 23" xfId="383" xr:uid="{00000000-0005-0000-0000-000081010000}"/>
    <cellStyle name="Style 1 4 3" xfId="384" xr:uid="{00000000-0005-0000-0000-000082010000}"/>
    <cellStyle name="Style 1 4 4" xfId="385" xr:uid="{00000000-0005-0000-0000-000083010000}"/>
    <cellStyle name="Style 1 4 5" xfId="386" xr:uid="{00000000-0005-0000-0000-000084010000}"/>
    <cellStyle name="Style 1 4 6" xfId="387" xr:uid="{00000000-0005-0000-0000-000085010000}"/>
    <cellStyle name="Style 1 4 7" xfId="388" xr:uid="{00000000-0005-0000-0000-000086010000}"/>
    <cellStyle name="Style 1 4 8" xfId="389" xr:uid="{00000000-0005-0000-0000-000087010000}"/>
    <cellStyle name="Style 1 4 9" xfId="390" xr:uid="{00000000-0005-0000-0000-000088010000}"/>
    <cellStyle name="Style 1 5" xfId="391" xr:uid="{00000000-0005-0000-0000-000089010000}"/>
    <cellStyle name="Style 1 5 10" xfId="392" xr:uid="{00000000-0005-0000-0000-00008A010000}"/>
    <cellStyle name="Style 1 5 11" xfId="393" xr:uid="{00000000-0005-0000-0000-00008B010000}"/>
    <cellStyle name="Style 1 5 12" xfId="394" xr:uid="{00000000-0005-0000-0000-00008C010000}"/>
    <cellStyle name="Style 1 5 13" xfId="395" xr:uid="{00000000-0005-0000-0000-00008D010000}"/>
    <cellStyle name="Style 1 5 14" xfId="396" xr:uid="{00000000-0005-0000-0000-00008E010000}"/>
    <cellStyle name="Style 1 5 15" xfId="397" xr:uid="{00000000-0005-0000-0000-00008F010000}"/>
    <cellStyle name="Style 1 5 16" xfId="398" xr:uid="{00000000-0005-0000-0000-000090010000}"/>
    <cellStyle name="Style 1 5 17" xfId="399" xr:uid="{00000000-0005-0000-0000-000091010000}"/>
    <cellStyle name="Style 1 5 18" xfId="400" xr:uid="{00000000-0005-0000-0000-000092010000}"/>
    <cellStyle name="Style 1 5 19" xfId="401" xr:uid="{00000000-0005-0000-0000-000093010000}"/>
    <cellStyle name="Style 1 5 2" xfId="402" xr:uid="{00000000-0005-0000-0000-000094010000}"/>
    <cellStyle name="Style 1 5 20" xfId="403" xr:uid="{00000000-0005-0000-0000-000095010000}"/>
    <cellStyle name="Style 1 5 21" xfId="404" xr:uid="{00000000-0005-0000-0000-000096010000}"/>
    <cellStyle name="Style 1 5 22" xfId="405" xr:uid="{00000000-0005-0000-0000-000097010000}"/>
    <cellStyle name="Style 1 5 23" xfId="406" xr:uid="{00000000-0005-0000-0000-000098010000}"/>
    <cellStyle name="Style 1 5 3" xfId="407" xr:uid="{00000000-0005-0000-0000-000099010000}"/>
    <cellStyle name="Style 1 5 4" xfId="408" xr:uid="{00000000-0005-0000-0000-00009A010000}"/>
    <cellStyle name="Style 1 5 5" xfId="409" xr:uid="{00000000-0005-0000-0000-00009B010000}"/>
    <cellStyle name="Style 1 5 6" xfId="410" xr:uid="{00000000-0005-0000-0000-00009C010000}"/>
    <cellStyle name="Style 1 5 7" xfId="411" xr:uid="{00000000-0005-0000-0000-00009D010000}"/>
    <cellStyle name="Style 1 5 8" xfId="412" xr:uid="{00000000-0005-0000-0000-00009E010000}"/>
    <cellStyle name="Style 1 5 9" xfId="413" xr:uid="{00000000-0005-0000-0000-00009F010000}"/>
    <cellStyle name="Style 1 6" xfId="414" xr:uid="{00000000-0005-0000-0000-0000A0010000}"/>
    <cellStyle name="Style 1 6 10" xfId="415" xr:uid="{00000000-0005-0000-0000-0000A1010000}"/>
    <cellStyle name="Style 1 6 11" xfId="416" xr:uid="{00000000-0005-0000-0000-0000A2010000}"/>
    <cellStyle name="Style 1 6 12" xfId="417" xr:uid="{00000000-0005-0000-0000-0000A3010000}"/>
    <cellStyle name="Style 1 6 13" xfId="418" xr:uid="{00000000-0005-0000-0000-0000A4010000}"/>
    <cellStyle name="Style 1 6 14" xfId="419" xr:uid="{00000000-0005-0000-0000-0000A5010000}"/>
    <cellStyle name="Style 1 6 15" xfId="420" xr:uid="{00000000-0005-0000-0000-0000A6010000}"/>
    <cellStyle name="Style 1 6 16" xfId="421" xr:uid="{00000000-0005-0000-0000-0000A7010000}"/>
    <cellStyle name="Style 1 6 17" xfId="422" xr:uid="{00000000-0005-0000-0000-0000A8010000}"/>
    <cellStyle name="Style 1 6 18" xfId="423" xr:uid="{00000000-0005-0000-0000-0000A9010000}"/>
    <cellStyle name="Style 1 6 19" xfId="424" xr:uid="{00000000-0005-0000-0000-0000AA010000}"/>
    <cellStyle name="Style 1 6 2" xfId="425" xr:uid="{00000000-0005-0000-0000-0000AB010000}"/>
    <cellStyle name="Style 1 6 20" xfId="426" xr:uid="{00000000-0005-0000-0000-0000AC010000}"/>
    <cellStyle name="Style 1 6 21" xfId="427" xr:uid="{00000000-0005-0000-0000-0000AD010000}"/>
    <cellStyle name="Style 1 6 22" xfId="428" xr:uid="{00000000-0005-0000-0000-0000AE010000}"/>
    <cellStyle name="Style 1 6 23" xfId="429" xr:uid="{00000000-0005-0000-0000-0000AF010000}"/>
    <cellStyle name="Style 1 6 3" xfId="430" xr:uid="{00000000-0005-0000-0000-0000B0010000}"/>
    <cellStyle name="Style 1 6 4" xfId="431" xr:uid="{00000000-0005-0000-0000-0000B1010000}"/>
    <cellStyle name="Style 1 6 5" xfId="432" xr:uid="{00000000-0005-0000-0000-0000B2010000}"/>
    <cellStyle name="Style 1 6 6" xfId="433" xr:uid="{00000000-0005-0000-0000-0000B3010000}"/>
    <cellStyle name="Style 1 6 7" xfId="434" xr:uid="{00000000-0005-0000-0000-0000B4010000}"/>
    <cellStyle name="Style 1 6 8" xfId="435" xr:uid="{00000000-0005-0000-0000-0000B5010000}"/>
    <cellStyle name="Style 1 6 9" xfId="436" xr:uid="{00000000-0005-0000-0000-0000B6010000}"/>
  </cellStyles>
  <dxfs count="4">
    <dxf>
      <font>
        <color theme="0"/>
      </font>
    </dxf>
    <dxf>
      <font>
        <color theme="0"/>
      </font>
    </dxf>
    <dxf>
      <fill>
        <patternFill patternType="solid">
          <fgColor theme="0"/>
        </patternFill>
      </fill>
    </dxf>
    <dxf>
      <fill>
        <patternFill>
          <fgColor theme="0"/>
        </patternFill>
      </fill>
    </dxf>
  </dxfs>
  <tableStyles count="0" defaultTableStyle="TableStyleMedium9"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dex!A1"/><Relationship Id="rId1" Type="http://schemas.openxmlformats.org/officeDocument/2006/relationships/hyperlink" Target="#'FORM 2 (PF)'!A1"/></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FORM 1(PW)'!A1"/><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dex!A1"/><Relationship Id="rId1" Type="http://schemas.openxmlformats.org/officeDocument/2006/relationships/hyperlink" Target="#'Form F (GRATUTIY)'!A1"/></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ESI DECLRATION'!A1"/><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Index!A1"/><Relationship Id="rId1" Type="http://schemas.openxmlformats.org/officeDocument/2006/relationships/hyperlink" Target="#'FORM 11 (Declaration Form)'!A1"/></Relationships>
</file>

<file path=xl/drawings/_rels/drawing9.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hyperlink" Target="#'Employment Card'!A1"/><Relationship Id="rId1" Type="http://schemas.openxmlformats.org/officeDocument/2006/relationships/image" Target="../media/image5.png"/><Relationship Id="rId4"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oneCellAnchor>
    <xdr:from>
      <xdr:col>124</xdr:col>
      <xdr:colOff>57151</xdr:colOff>
      <xdr:row>1</xdr:row>
      <xdr:rowOff>1114425</xdr:rowOff>
    </xdr:from>
    <xdr:ext cx="1638300" cy="371475"/>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98936176" y="1114425"/>
          <a:ext cx="1638300" cy="371475"/>
        </a:xfrm>
        <a:prstGeom prst="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400" b="1" cap="none" spc="0" baseline="0">
              <a:ln w="11430"/>
              <a:solidFill>
                <a:srgbClr val="FF0000"/>
              </a:solidFill>
              <a:effectLst>
                <a:outerShdw blurRad="50800" dist="39000" dir="5460000" algn="tl">
                  <a:srgbClr val="000000">
                    <a:alpha val="38000"/>
                  </a:srgbClr>
                </a:outerShdw>
              </a:effectLst>
              <a:latin typeface="+mj-lt"/>
            </a:rPr>
            <a:t>BACK</a:t>
          </a:r>
          <a:endParaRPr lang="en-US" sz="14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41412</xdr:colOff>
      <xdr:row>160</xdr:row>
      <xdr:rowOff>132521</xdr:rowOff>
    </xdr:from>
    <xdr:to>
      <xdr:col>2</xdr:col>
      <xdr:colOff>99391</xdr:colOff>
      <xdr:row>163</xdr:row>
      <xdr:rowOff>74542</xdr:rowOff>
    </xdr:to>
    <xdr:sp macro="[0]!Save" textlink="">
      <xdr:nvSpPr>
        <xdr:cNvPr id="2" name="Rectangle 1">
          <a:extLst>
            <a:ext uri="{FF2B5EF4-FFF2-40B4-BE49-F238E27FC236}">
              <a16:creationId xmlns:a16="http://schemas.microsoft.com/office/drawing/2014/main" id="{8D9D2AB9-E3C9-48D1-87A8-AE562831E713}"/>
            </a:ext>
          </a:extLst>
        </xdr:cNvPr>
        <xdr:cNvSpPr/>
      </xdr:nvSpPr>
      <xdr:spPr>
        <a:xfrm>
          <a:off x="281608" y="41843738"/>
          <a:ext cx="1524000" cy="4389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Save                                         szx</a:t>
          </a:r>
        </a:p>
      </xdr:txBody>
    </xdr:sp>
    <xdr:clientData/>
  </xdr:twoCellAnchor>
  <xdr:twoCellAnchor>
    <xdr:from>
      <xdr:col>5</xdr:col>
      <xdr:colOff>563217</xdr:colOff>
      <xdr:row>2</xdr:row>
      <xdr:rowOff>190499</xdr:rowOff>
    </xdr:from>
    <xdr:to>
      <xdr:col>7</xdr:col>
      <xdr:colOff>157368</xdr:colOff>
      <xdr:row>10</xdr:row>
      <xdr:rowOff>91108</xdr:rowOff>
    </xdr:to>
    <xdr:sp macro="[0]!Clear" textlink="">
      <xdr:nvSpPr>
        <xdr:cNvPr id="3" name="Rectangle 2">
          <a:extLst>
            <a:ext uri="{FF2B5EF4-FFF2-40B4-BE49-F238E27FC236}">
              <a16:creationId xmlns:a16="http://schemas.microsoft.com/office/drawing/2014/main" id="{2AB6A8C8-50FB-41AB-86B7-860C23772091}"/>
            </a:ext>
          </a:extLst>
        </xdr:cNvPr>
        <xdr:cNvSpPr/>
      </xdr:nvSpPr>
      <xdr:spPr>
        <a:xfrm>
          <a:off x="6733760" y="521803"/>
          <a:ext cx="1051891" cy="6626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Clear Form</a:t>
          </a:r>
        </a:p>
      </xdr:txBody>
    </xdr:sp>
    <xdr:clientData/>
  </xdr:twoCellAnchor>
  <xdr:twoCellAnchor>
    <xdr:from>
      <xdr:col>5</xdr:col>
      <xdr:colOff>571501</xdr:colOff>
      <xdr:row>12</xdr:row>
      <xdr:rowOff>0</xdr:rowOff>
    </xdr:from>
    <xdr:to>
      <xdr:col>7</xdr:col>
      <xdr:colOff>157370</xdr:colOff>
      <xdr:row>18</xdr:row>
      <xdr:rowOff>165653</xdr:rowOff>
    </xdr:to>
    <xdr:sp macro="[0]!PrintOnlyHiddenWorksheets" textlink="">
      <xdr:nvSpPr>
        <xdr:cNvPr id="4" name="Rectangle 3">
          <a:extLst>
            <a:ext uri="{FF2B5EF4-FFF2-40B4-BE49-F238E27FC236}">
              <a16:creationId xmlns:a16="http://schemas.microsoft.com/office/drawing/2014/main" id="{77DF2FB9-A8FB-4A95-92C0-864ED1EE245B}"/>
            </a:ext>
          </a:extLst>
        </xdr:cNvPr>
        <xdr:cNvSpPr/>
      </xdr:nvSpPr>
      <xdr:spPr>
        <a:xfrm>
          <a:off x="6742044" y="1474304"/>
          <a:ext cx="1043609" cy="7371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Print</a:t>
          </a:r>
        </a:p>
      </xdr:txBody>
    </xdr:sp>
    <xdr:clientData/>
  </xdr:twoCellAnchor>
  <xdr:twoCellAnchor>
    <xdr:from>
      <xdr:col>5</xdr:col>
      <xdr:colOff>612914</xdr:colOff>
      <xdr:row>19</xdr:row>
      <xdr:rowOff>115957</xdr:rowOff>
    </xdr:from>
    <xdr:to>
      <xdr:col>7</xdr:col>
      <xdr:colOff>149087</xdr:colOff>
      <xdr:row>23</xdr:row>
      <xdr:rowOff>223631</xdr:rowOff>
    </xdr:to>
    <xdr:sp macro="[0]!ExportAsPDF" textlink="">
      <xdr:nvSpPr>
        <xdr:cNvPr id="5" name="Rectangle 4">
          <a:extLst>
            <a:ext uri="{FF2B5EF4-FFF2-40B4-BE49-F238E27FC236}">
              <a16:creationId xmlns:a16="http://schemas.microsoft.com/office/drawing/2014/main" id="{19579CD6-D322-4AB5-A863-0B5EA3560883}"/>
            </a:ext>
          </a:extLst>
        </xdr:cNvPr>
        <xdr:cNvSpPr/>
      </xdr:nvSpPr>
      <xdr:spPr>
        <a:xfrm>
          <a:off x="6783457" y="2484783"/>
          <a:ext cx="993913" cy="6791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SAVE</a:t>
          </a:r>
          <a:r>
            <a:rPr lang="en-US" sz="1400" baseline="0"/>
            <a:t> AS PDF</a:t>
          </a:r>
          <a:endParaRPr lang="en-US" sz="14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6</xdr:col>
      <xdr:colOff>507999</xdr:colOff>
      <xdr:row>3</xdr:row>
      <xdr:rowOff>240395</xdr:rowOff>
    </xdr:from>
    <xdr:ext cx="1889126" cy="664480"/>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300-000002000000}"/>
            </a:ext>
          </a:extLst>
        </xdr:cNvPr>
        <xdr:cNvSpPr txBox="1"/>
      </xdr:nvSpPr>
      <xdr:spPr>
        <a:xfrm>
          <a:off x="18684874" y="1224645"/>
          <a:ext cx="1889126" cy="664480"/>
        </a:xfrm>
        <a:prstGeom prst="rect">
          <a:avLst/>
        </a:prstGeom>
        <a:solidFill>
          <a:schemeClr val="bg2"/>
        </a:solidFill>
        <a:ln w="9525" cmpd="sng">
          <a:noFill/>
        </a:ln>
        <a:effectLst>
          <a:outerShdw blurRad="50800" dist="50800" dir="5400000" algn="ctr" rotWithShape="0">
            <a:schemeClr val="tx1"/>
          </a:outerShdw>
        </a:effectLst>
        <a:scene3d>
          <a:camera prst="perspectiveRight">
            <a:rot lat="0" lon="0" rev="0"/>
          </a:camera>
          <a:lightRig rig="threePt" dir="t">
            <a:rot lat="0" lon="0" rev="1200000"/>
          </a:lightRig>
        </a:scene3d>
        <a:sp3d z="-12700"/>
      </xdr:spPr>
      <xdr:style>
        <a:lnRef idx="0">
          <a:scrgbClr r="0" g="0" b="0"/>
        </a:lnRef>
        <a:fillRef idx="0">
          <a:scrgbClr r="0" g="0" b="0"/>
        </a:fillRef>
        <a:effectRef idx="0">
          <a:scrgbClr r="0" g="0" b="0"/>
        </a:effectRef>
        <a:fontRef idx="minor">
          <a:schemeClr val="dk1"/>
        </a:fontRef>
      </xdr:style>
      <xdr:txBody>
        <a:bodyPr vertOverflow="clip" wrap="square" rtlCol="0" anchor="ctr" anchorCtr="0">
          <a:noAutofit/>
          <a:flatTx/>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2000" b="1" baseline="0">
              <a:ln>
                <a:noFill/>
              </a:ln>
              <a:solidFill>
                <a:srgbClr val="C00000"/>
              </a:solidFill>
              <a:effectLst>
                <a:outerShdw blurRad="50800" dist="38100" algn="tr" rotWithShape="0">
                  <a:prstClr val="black">
                    <a:alpha val="40000"/>
                  </a:prstClr>
                </a:outerShdw>
              </a:effectLst>
              <a:latin typeface="+mj-lt"/>
              <a:ea typeface="+mn-ea"/>
              <a:cs typeface="+mn-cs"/>
            </a:rPr>
            <a:t>NEXT FORMS</a:t>
          </a:r>
          <a:endParaRPr lang="en-US" sz="2000">
            <a:ln>
              <a:solidFill>
                <a:schemeClr val="accent6">
                  <a:lumMod val="60000"/>
                  <a:lumOff val="40000"/>
                  <a:alpha val="90000"/>
                </a:schemeClr>
              </a:solidFill>
            </a:ln>
            <a:gradFill flip="none" rotWithShape="1">
              <a:gsLst>
                <a:gs pos="0">
                  <a:srgbClr val="E6DCAC"/>
                </a:gs>
                <a:gs pos="22000">
                  <a:srgbClr val="E6DCAC">
                    <a:alpha val="68000"/>
                  </a:srgbClr>
                </a:gs>
                <a:gs pos="12000">
                  <a:srgbClr val="E6D78A"/>
                </a:gs>
                <a:gs pos="30000">
                  <a:srgbClr val="C7AC4C"/>
                </a:gs>
                <a:gs pos="45000">
                  <a:srgbClr val="E6D78A"/>
                </a:gs>
                <a:gs pos="77000">
                  <a:srgbClr val="C7AC4C"/>
                </a:gs>
                <a:gs pos="100000">
                  <a:srgbClr val="E6DCAC"/>
                </a:gs>
              </a:gsLst>
              <a:path path="circle">
                <a:fillToRect t="100000" r="100000"/>
              </a:path>
              <a:tileRect l="-100000" b="-100000"/>
            </a:gradFill>
            <a:effectLst>
              <a:outerShdw blurRad="63500" sx="102000" sy="102000" algn="ctr" rotWithShape="0">
                <a:prstClr val="black">
                  <a:alpha val="40000"/>
                </a:prstClr>
              </a:outerShdw>
            </a:effectLst>
          </a:endParaRPr>
        </a:p>
      </xdr:txBody>
    </xdr:sp>
    <xdr:clientData/>
  </xdr:oneCellAnchor>
  <xdr:oneCellAnchor>
    <xdr:from>
      <xdr:col>8</xdr:col>
      <xdr:colOff>444500</xdr:colOff>
      <xdr:row>3</xdr:row>
      <xdr:rowOff>253999</xdr:rowOff>
    </xdr:from>
    <xdr:ext cx="1746250" cy="476251"/>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300-000005000000}"/>
            </a:ext>
          </a:extLst>
        </xdr:cNvPr>
        <xdr:cNvSpPr/>
      </xdr:nvSpPr>
      <xdr:spPr>
        <a:xfrm>
          <a:off x="21002625" y="1238249"/>
          <a:ext cx="1746250" cy="476251"/>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000" b="1" cap="none" spc="0">
              <a:ln w="11430"/>
              <a:solidFill>
                <a:srgbClr val="FF0000"/>
              </a:solidFill>
              <a:effectLst>
                <a:outerShdw blurRad="50800" dist="39000" dir="5460000" algn="tl">
                  <a:srgbClr val="000000">
                    <a:alpha val="38000"/>
                  </a:srgbClr>
                </a:outerShdw>
              </a:effectLst>
              <a:latin typeface="+mj-lt"/>
            </a:rPr>
            <a:t>BACK</a:t>
          </a:r>
        </a:p>
      </xdr:txBody>
    </xdr:sp>
    <xdr:clientData/>
  </xdr:oneCellAnchor>
  <xdr:twoCellAnchor editAs="oneCell">
    <xdr:from>
      <xdr:col>4</xdr:col>
      <xdr:colOff>960245</xdr:colOff>
      <xdr:row>81</xdr:row>
      <xdr:rowOff>139392</xdr:rowOff>
    </xdr:from>
    <xdr:to>
      <xdr:col>4</xdr:col>
      <xdr:colOff>1382896</xdr:colOff>
      <xdr:row>81</xdr:row>
      <xdr:rowOff>618817</xdr:rowOff>
    </xdr:to>
    <xdr:pic>
      <xdr:nvPicPr>
        <xdr:cNvPr id="6" name="Picture 2">
          <a:extLst>
            <a:ext uri="{FF2B5EF4-FFF2-40B4-BE49-F238E27FC236}">
              <a16:creationId xmlns:a16="http://schemas.microsoft.com/office/drawing/2014/main" id="{7224E25E-5E74-40DC-BB90-B6E468467269}"/>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558538" y="61687929"/>
          <a:ext cx="422651" cy="479425"/>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57150</xdr:rowOff>
    </xdr:from>
    <xdr:to>
      <xdr:col>16384</xdr:col>
      <xdr:colOff>161925</xdr:colOff>
      <xdr:row>1048576</xdr:row>
      <xdr:rowOff>57150</xdr:rowOff>
    </xdr:to>
    <xdr:pic>
      <xdr:nvPicPr>
        <xdr:cNvPr id="5" name="Picture 4">
          <a:extLst>
            <a:ext uri="{FF2B5EF4-FFF2-40B4-BE49-F238E27FC236}">
              <a16:creationId xmlns:a16="http://schemas.microsoft.com/office/drawing/2014/main" id="{5F7FDCB6-E1F7-40EF-9551-FD31514F1C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47650"/>
          <a:ext cx="5648325" cy="7239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16</xdr:col>
      <xdr:colOff>238125</xdr:colOff>
      <xdr:row>2</xdr:row>
      <xdr:rowOff>127000</xdr:rowOff>
    </xdr:from>
    <xdr:ext cx="1381125" cy="476250"/>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8556625" y="460375"/>
          <a:ext cx="1381125" cy="476250"/>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13</xdr:col>
      <xdr:colOff>158750</xdr:colOff>
      <xdr:row>2</xdr:row>
      <xdr:rowOff>79375</xdr:rowOff>
    </xdr:from>
    <xdr:ext cx="1444625" cy="650874"/>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6858000" y="412750"/>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9</xdr:col>
      <xdr:colOff>67236</xdr:colOff>
      <xdr:row>45</xdr:row>
      <xdr:rowOff>168089</xdr:rowOff>
    </xdr:from>
    <xdr:to>
      <xdr:col>9</xdr:col>
      <xdr:colOff>366621</xdr:colOff>
      <xdr:row>46</xdr:row>
      <xdr:rowOff>216337</xdr:rowOff>
    </xdr:to>
    <xdr:pic>
      <xdr:nvPicPr>
        <xdr:cNvPr id="4" name="Picture 2">
          <a:extLst>
            <a:ext uri="{FF2B5EF4-FFF2-40B4-BE49-F238E27FC236}">
              <a16:creationId xmlns:a16="http://schemas.microsoft.com/office/drawing/2014/main" id="{355DECE4-C831-44DC-A576-098383BDBF1C}"/>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661648" y="15228795"/>
          <a:ext cx="299385" cy="339601"/>
        </a:xfrm>
        <a:prstGeom prst="rect">
          <a:avLst/>
        </a:prstGeom>
        <a:noFill/>
        <a:ln w="1">
          <a:noFill/>
          <a:miter lim="800000"/>
          <a:headEnd/>
          <a:tailEnd type="none" w="med" len="med"/>
        </a:ln>
        <a:effectLst/>
      </xdr:spPr>
    </xdr:pic>
    <xdr:clientData/>
  </xdr:twoCellAnchor>
  <xdr:twoCellAnchor editAs="oneCell">
    <xdr:from>
      <xdr:col>8</xdr:col>
      <xdr:colOff>67983</xdr:colOff>
      <xdr:row>24</xdr:row>
      <xdr:rowOff>146051</xdr:rowOff>
    </xdr:from>
    <xdr:to>
      <xdr:col>8</xdr:col>
      <xdr:colOff>387912</xdr:colOff>
      <xdr:row>25</xdr:row>
      <xdr:rowOff>283946</xdr:rowOff>
    </xdr:to>
    <xdr:pic>
      <xdr:nvPicPr>
        <xdr:cNvPr id="7" name="Picture 2">
          <a:extLst>
            <a:ext uri="{FF2B5EF4-FFF2-40B4-BE49-F238E27FC236}">
              <a16:creationId xmlns:a16="http://schemas.microsoft.com/office/drawing/2014/main" id="{48F20C89-3E20-4B12-A95D-719B0A3B17F8}"/>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481233" y="8140701"/>
          <a:ext cx="319929" cy="334745"/>
        </a:xfrm>
        <a:prstGeom prst="rect">
          <a:avLst/>
        </a:prstGeom>
        <a:noFill/>
        <a:ln w="1">
          <a:noFill/>
          <a:miter lim="800000"/>
          <a:headEnd/>
          <a:tailEnd type="none" w="med" len="med"/>
        </a:ln>
        <a:effec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11</xdr:col>
      <xdr:colOff>301625</xdr:colOff>
      <xdr:row>4</xdr:row>
      <xdr:rowOff>31750</xdr:rowOff>
    </xdr:from>
    <xdr:ext cx="184731" cy="2645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367125" y="174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8</xdr:col>
      <xdr:colOff>142875</xdr:colOff>
      <xdr:row>1</xdr:row>
      <xdr:rowOff>428626</xdr:rowOff>
    </xdr:from>
    <xdr:ext cx="1444625" cy="650874"/>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500-000005000000}"/>
            </a:ext>
          </a:extLst>
        </xdr:cNvPr>
        <xdr:cNvSpPr/>
      </xdr:nvSpPr>
      <xdr:spPr>
        <a:xfrm>
          <a:off x="13922375" y="619126"/>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10</xdr:col>
      <xdr:colOff>539750</xdr:colOff>
      <xdr:row>1</xdr:row>
      <xdr:rowOff>460374</xdr:rowOff>
    </xdr:from>
    <xdr:ext cx="1190625" cy="492125"/>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500-000006000000}"/>
            </a:ext>
          </a:extLst>
        </xdr:cNvPr>
        <xdr:cNvSpPr/>
      </xdr:nvSpPr>
      <xdr:spPr>
        <a:xfrm>
          <a:off x="15843250" y="650874"/>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3</xdr:col>
      <xdr:colOff>1073727</xdr:colOff>
      <xdr:row>21</xdr:row>
      <xdr:rowOff>432956</xdr:rowOff>
    </xdr:from>
    <xdr:to>
      <xdr:col>3</xdr:col>
      <xdr:colOff>1373112</xdr:colOff>
      <xdr:row>22</xdr:row>
      <xdr:rowOff>270330</xdr:rowOff>
    </xdr:to>
    <xdr:pic>
      <xdr:nvPicPr>
        <xdr:cNvPr id="7" name="Picture 2">
          <a:extLst>
            <a:ext uri="{FF2B5EF4-FFF2-40B4-BE49-F238E27FC236}">
              <a16:creationId xmlns:a16="http://schemas.microsoft.com/office/drawing/2014/main" id="{3377902F-A1F7-4632-8438-EF98A1D6092B}"/>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862454" y="14737774"/>
          <a:ext cx="299385" cy="339601"/>
        </a:xfrm>
        <a:prstGeom prst="rect">
          <a:avLst/>
        </a:prstGeom>
        <a:noFill/>
        <a:ln w="1">
          <a:noFill/>
          <a:miter lim="800000"/>
          <a:headEnd/>
          <a:tailEnd type="none" w="med" len="med"/>
        </a:ln>
        <a:effec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17</xdr:col>
      <xdr:colOff>238125</xdr:colOff>
      <xdr:row>2</xdr:row>
      <xdr:rowOff>127000</xdr:rowOff>
    </xdr:from>
    <xdr:ext cx="1381125" cy="476250"/>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953500" y="450850"/>
          <a:ext cx="1381125" cy="476250"/>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14</xdr:col>
      <xdr:colOff>158750</xdr:colOff>
      <xdr:row>2</xdr:row>
      <xdr:rowOff>79375</xdr:rowOff>
    </xdr:from>
    <xdr:ext cx="1444625" cy="650874"/>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7273925" y="403225"/>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7</xdr:col>
      <xdr:colOff>428625</xdr:colOff>
      <xdr:row>33</xdr:row>
      <xdr:rowOff>219074</xdr:rowOff>
    </xdr:from>
    <xdr:to>
      <xdr:col>7</xdr:col>
      <xdr:colOff>689527</xdr:colOff>
      <xdr:row>34</xdr:row>
      <xdr:rowOff>219748</xdr:rowOff>
    </xdr:to>
    <xdr:pic>
      <xdr:nvPicPr>
        <xdr:cNvPr id="4" name="Picture 2">
          <a:extLst>
            <a:ext uri="{FF2B5EF4-FFF2-40B4-BE49-F238E27FC236}">
              <a16:creationId xmlns:a16="http://schemas.microsoft.com/office/drawing/2014/main" id="{C6FF5602-31D5-4F75-89C5-604CB07DE52D}"/>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848225" y="6515099"/>
          <a:ext cx="260902" cy="295949"/>
        </a:xfrm>
        <a:prstGeom prst="rect">
          <a:avLst/>
        </a:prstGeom>
        <a:noFill/>
        <a:ln w="1">
          <a:noFill/>
          <a:miter lim="800000"/>
          <a:headEnd/>
          <a:tailEnd type="none" w="med" len="med"/>
        </a:ln>
        <a:effec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7</xdr:col>
      <xdr:colOff>238125</xdr:colOff>
      <xdr:row>5</xdr:row>
      <xdr:rowOff>31750</xdr:rowOff>
    </xdr:from>
    <xdr:ext cx="117475" cy="6985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508875" y="825500"/>
          <a:ext cx="117475" cy="69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5</xdr:col>
      <xdr:colOff>190500</xdr:colOff>
      <xdr:row>2</xdr:row>
      <xdr:rowOff>127000</xdr:rowOff>
    </xdr:from>
    <xdr:ext cx="1444625" cy="650874"/>
    <xdr:sp macro="" textlink="">
      <xdr:nvSpPr>
        <xdr:cNvPr id="9" name="Rounded Rectangle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6254750" y="444500"/>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8</xdr:col>
      <xdr:colOff>269875</xdr:colOff>
      <xdr:row>3</xdr:row>
      <xdr:rowOff>15875</xdr:rowOff>
    </xdr:from>
    <xdr:ext cx="1190625" cy="492125"/>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8143875" y="49212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2</xdr:col>
      <xdr:colOff>377825</xdr:colOff>
      <xdr:row>45</xdr:row>
      <xdr:rowOff>288925</xdr:rowOff>
    </xdr:from>
    <xdr:to>
      <xdr:col>2</xdr:col>
      <xdr:colOff>609738</xdr:colOff>
      <xdr:row>45</xdr:row>
      <xdr:rowOff>551990</xdr:rowOff>
    </xdr:to>
    <xdr:pic>
      <xdr:nvPicPr>
        <xdr:cNvPr id="5" name="Picture 2">
          <a:extLst>
            <a:ext uri="{FF2B5EF4-FFF2-40B4-BE49-F238E27FC236}">
              <a16:creationId xmlns:a16="http://schemas.microsoft.com/office/drawing/2014/main" id="{D996B76B-A7FA-4DEF-9584-6F625E75BC34}"/>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406775" y="11833225"/>
          <a:ext cx="231913" cy="263065"/>
        </a:xfrm>
        <a:prstGeom prst="rect">
          <a:avLst/>
        </a:prstGeom>
        <a:noFill/>
        <a:ln w="1">
          <a:noFill/>
          <a:miter lim="800000"/>
          <a:headEnd/>
          <a:tailEnd type="none" w="med" len="med"/>
        </a:ln>
        <a:effectLst/>
      </xdr:spPr>
    </xdr:pic>
    <xdr:clientData/>
  </xdr:twoCellAnchor>
  <xdr:twoCellAnchor editAs="oneCell">
    <xdr:from>
      <xdr:col>2</xdr:col>
      <xdr:colOff>85725</xdr:colOff>
      <xdr:row>80</xdr:row>
      <xdr:rowOff>152400</xdr:rowOff>
    </xdr:from>
    <xdr:to>
      <xdr:col>2</xdr:col>
      <xdr:colOff>317638</xdr:colOff>
      <xdr:row>81</xdr:row>
      <xdr:rowOff>253540</xdr:rowOff>
    </xdr:to>
    <xdr:pic>
      <xdr:nvPicPr>
        <xdr:cNvPr id="6" name="Picture 2">
          <a:extLst>
            <a:ext uri="{FF2B5EF4-FFF2-40B4-BE49-F238E27FC236}">
              <a16:creationId xmlns:a16="http://schemas.microsoft.com/office/drawing/2014/main" id="{98245650-6231-4672-BED8-5958A0043D5C}"/>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71800" y="18802350"/>
          <a:ext cx="231913" cy="263065"/>
        </a:xfrm>
        <a:prstGeom prst="rect">
          <a:avLst/>
        </a:prstGeom>
        <a:noFill/>
        <a:ln w="1">
          <a:noFill/>
          <a:miter lim="800000"/>
          <a:headEnd/>
          <a:tailEnd type="none" w="med" len="med"/>
        </a:ln>
        <a:effec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38100</xdr:colOff>
      <xdr:row>2</xdr:row>
      <xdr:rowOff>615950</xdr:rowOff>
    </xdr:to>
    <xdr:pic>
      <xdr:nvPicPr>
        <xdr:cNvPr id="2" name="Pictur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0"/>
          <a:ext cx="1771650" cy="1730375"/>
        </a:xfrm>
        <a:prstGeom prst="rect">
          <a:avLst/>
        </a:prstGeom>
        <a:noFill/>
        <a:ln w="1">
          <a:noFill/>
          <a:miter lim="800000"/>
          <a:headEnd/>
          <a:tailEnd type="none" w="med" len="med"/>
        </a:ln>
        <a:effectLst/>
      </xdr:spPr>
    </xdr:pic>
    <xdr:clientData/>
  </xdr:twoCellAnchor>
  <xdr:oneCellAnchor>
    <xdr:from>
      <xdr:col>32</xdr:col>
      <xdr:colOff>111125</xdr:colOff>
      <xdr:row>0</xdr:row>
      <xdr:rowOff>238125</xdr:rowOff>
    </xdr:from>
    <xdr:ext cx="1444625" cy="650874"/>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0800-000007000000}"/>
            </a:ext>
          </a:extLst>
        </xdr:cNvPr>
        <xdr:cNvSpPr/>
      </xdr:nvSpPr>
      <xdr:spPr>
        <a:xfrm>
          <a:off x="18748375" y="238125"/>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35</xdr:col>
      <xdr:colOff>238125</xdr:colOff>
      <xdr:row>0</xdr:row>
      <xdr:rowOff>301625</xdr:rowOff>
    </xdr:from>
    <xdr:ext cx="1190625" cy="492125"/>
    <xdr:sp macro="" textlink="">
      <xdr:nvSpPr>
        <xdr:cNvPr id="8" name="Rounded Rectangle 7">
          <a:hlinkClick xmlns:r="http://schemas.openxmlformats.org/officeDocument/2006/relationships" r:id="rId3"/>
          <a:extLst>
            <a:ext uri="{FF2B5EF4-FFF2-40B4-BE49-F238E27FC236}">
              <a16:creationId xmlns:a16="http://schemas.microsoft.com/office/drawing/2014/main" id="{00000000-0008-0000-0800-000008000000}"/>
            </a:ext>
          </a:extLst>
        </xdr:cNvPr>
        <xdr:cNvSpPr/>
      </xdr:nvSpPr>
      <xdr:spPr>
        <a:xfrm>
          <a:off x="20494625" y="30162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14</xdr:col>
      <xdr:colOff>178594</xdr:colOff>
      <xdr:row>40</xdr:row>
      <xdr:rowOff>89297</xdr:rowOff>
    </xdr:from>
    <xdr:to>
      <xdr:col>15</xdr:col>
      <xdr:colOff>119062</xdr:colOff>
      <xdr:row>42</xdr:row>
      <xdr:rowOff>88632</xdr:rowOff>
    </xdr:to>
    <xdr:pic>
      <xdr:nvPicPr>
        <xdr:cNvPr id="5" name="Picture 2">
          <a:extLst>
            <a:ext uri="{FF2B5EF4-FFF2-40B4-BE49-F238E27FC236}">
              <a16:creationId xmlns:a16="http://schemas.microsoft.com/office/drawing/2014/main" id="{CCBF26A1-ED58-4F59-91CF-BEA370DEA5FC}"/>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096250" y="29587031"/>
          <a:ext cx="684609" cy="773242"/>
        </a:xfrm>
        <a:prstGeom prst="rect">
          <a:avLst/>
        </a:prstGeom>
        <a:noFill/>
        <a:ln w="1">
          <a:noFill/>
          <a:miter lim="800000"/>
          <a:headEnd/>
          <a:tailEnd type="none" w="med" len="med"/>
        </a:ln>
        <a:effectLst/>
      </xdr:spPr>
    </xdr:pic>
    <xdr:clientData/>
  </xdr:twoCellAnchor>
  <xdr:twoCellAnchor editAs="oneCell">
    <xdr:from>
      <xdr:col>19</xdr:col>
      <xdr:colOff>1581150</xdr:colOff>
      <xdr:row>23</xdr:row>
      <xdr:rowOff>985837</xdr:rowOff>
    </xdr:from>
    <xdr:to>
      <xdr:col>21</xdr:col>
      <xdr:colOff>539352</xdr:colOff>
      <xdr:row>24</xdr:row>
      <xdr:rowOff>92204</xdr:rowOff>
    </xdr:to>
    <xdr:pic>
      <xdr:nvPicPr>
        <xdr:cNvPr id="6" name="Picture 2">
          <a:extLst>
            <a:ext uri="{FF2B5EF4-FFF2-40B4-BE49-F238E27FC236}">
              <a16:creationId xmlns:a16="http://schemas.microsoft.com/office/drawing/2014/main" id="{73F42BDE-6AA9-4DB8-B04F-03BEBA333C7F}"/>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3546931" y="18785681"/>
          <a:ext cx="684609" cy="773242"/>
        </a:xfrm>
        <a:prstGeom prst="rect">
          <a:avLst/>
        </a:prstGeom>
        <a:noFill/>
        <a:ln w="1">
          <a:noFill/>
          <a:miter lim="800000"/>
          <a:headEnd/>
          <a:tailEnd type="none" w="med" len="med"/>
        </a:ln>
        <a:effec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5</xdr:col>
      <xdr:colOff>63500</xdr:colOff>
      <xdr:row>3</xdr:row>
      <xdr:rowOff>63500</xdr:rowOff>
    </xdr:from>
    <xdr:ext cx="1190625" cy="492125"/>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7889875" y="539750"/>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2</xdr:col>
      <xdr:colOff>110289</xdr:colOff>
      <xdr:row>8</xdr:row>
      <xdr:rowOff>30080</xdr:rowOff>
    </xdr:from>
    <xdr:to>
      <xdr:col>2</xdr:col>
      <xdr:colOff>601578</xdr:colOff>
      <xdr:row>9</xdr:row>
      <xdr:rowOff>165434</xdr:rowOff>
    </xdr:to>
    <xdr:pic>
      <xdr:nvPicPr>
        <xdr:cNvPr id="5" name="Picture 4">
          <a:extLst>
            <a:ext uri="{FF2B5EF4-FFF2-40B4-BE49-F238E27FC236}">
              <a16:creationId xmlns:a16="http://schemas.microsoft.com/office/drawing/2014/main" id="{EECB0ABA-6671-433C-98CA-944CF1E54BF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0" y="1584159"/>
          <a:ext cx="491289" cy="3258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xdr:row>
      <xdr:rowOff>76199</xdr:rowOff>
    </xdr:from>
    <xdr:to>
      <xdr:col>2</xdr:col>
      <xdr:colOff>343266</xdr:colOff>
      <xdr:row>2</xdr:row>
      <xdr:rowOff>142874</xdr:rowOff>
    </xdr:to>
    <xdr:pic>
      <xdr:nvPicPr>
        <xdr:cNvPr id="2" name="Picture 1">
          <a:extLst>
            <a:ext uri="{FF2B5EF4-FFF2-40B4-BE49-F238E27FC236}">
              <a16:creationId xmlns:a16="http://schemas.microsoft.com/office/drawing/2014/main" id="{3B223418-9489-446F-B9A8-25A959B6B9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1050" y="276224"/>
          <a:ext cx="781416"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63500</xdr:colOff>
      <xdr:row>3</xdr:row>
      <xdr:rowOff>63500</xdr:rowOff>
    </xdr:from>
    <xdr:ext cx="1190625" cy="492125"/>
    <xdr:sp macro="" textlink="">
      <xdr:nvSpPr>
        <xdr:cNvPr id="2" name="Rounded Rectangle 3">
          <a:hlinkClick xmlns:r="http://schemas.openxmlformats.org/officeDocument/2006/relationships" r:id="rId1"/>
          <a:extLst>
            <a:ext uri="{FF2B5EF4-FFF2-40B4-BE49-F238E27FC236}">
              <a16:creationId xmlns:a16="http://schemas.microsoft.com/office/drawing/2014/main" id="{65FE09BC-20E3-44EE-8178-AD46D670D40E}"/>
            </a:ext>
          </a:extLst>
        </xdr:cNvPr>
        <xdr:cNvSpPr/>
      </xdr:nvSpPr>
      <xdr:spPr>
        <a:xfrm>
          <a:off x="7912100" y="54927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gmai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W20"/>
  <sheetViews>
    <sheetView showGridLines="0" showZeros="0" topLeftCell="CD1" workbookViewId="0">
      <selection activeCell="CG13" sqref="CG13"/>
    </sheetView>
  </sheetViews>
  <sheetFormatPr defaultColWidth="0" defaultRowHeight="14.5" zeroHeight="1"/>
  <cols>
    <col min="1" max="1" width="12" style="128" hidden="1" customWidth="1"/>
    <col min="2" max="2" width="10.6328125" style="128" hidden="1" customWidth="1"/>
    <col min="3" max="3" width="16.36328125" style="128" hidden="1" customWidth="1"/>
    <col min="4" max="4" width="11.6328125" style="128" hidden="1" customWidth="1"/>
    <col min="5" max="5" width="16.54296875" style="128" hidden="1" customWidth="1"/>
    <col min="6" max="6" width="21" style="128" hidden="1" customWidth="1"/>
    <col min="7" max="7" width="23.453125" style="128" hidden="1" customWidth="1"/>
    <col min="8" max="8" width="9.36328125" style="128" bestFit="1" customWidth="1"/>
    <col min="9" max="9" width="10.54296875" style="128" bestFit="1" customWidth="1"/>
    <col min="10" max="10" width="13.36328125" style="128" bestFit="1" customWidth="1"/>
    <col min="11" max="11" width="16.36328125" style="128" bestFit="1" customWidth="1"/>
    <col min="12" max="12" width="11.36328125" style="128" bestFit="1" customWidth="1"/>
    <col min="13" max="14" width="15.6328125" style="128" bestFit="1" customWidth="1"/>
    <col min="15" max="15" width="12.54296875" style="128" bestFit="1" customWidth="1"/>
    <col min="16" max="16" width="19.6328125" style="128" bestFit="1" customWidth="1"/>
    <col min="17" max="17" width="19.453125" style="128" bestFit="1" customWidth="1"/>
    <col min="18" max="18" width="16.453125" style="128" bestFit="1" customWidth="1"/>
    <col min="19" max="19" width="16.08984375" style="128" bestFit="1" customWidth="1"/>
    <col min="20" max="20" width="13.08984375" style="128" bestFit="1" customWidth="1"/>
    <col min="21" max="21" width="16.54296875" style="128" bestFit="1" customWidth="1"/>
    <col min="22" max="22" width="12.08984375" style="128" bestFit="1" customWidth="1"/>
    <col min="23" max="23" width="23.08984375" style="128" bestFit="1" customWidth="1"/>
    <col min="24" max="24" width="13.6328125" style="128" bestFit="1" customWidth="1"/>
    <col min="25" max="25" width="25.54296875" style="128" bestFit="1" customWidth="1"/>
    <col min="26" max="26" width="23.54296875" style="128" bestFit="1" customWidth="1"/>
    <col min="27" max="27" width="10.90625" style="128" bestFit="1" customWidth="1"/>
    <col min="28" max="28" width="12.08984375" style="128" bestFit="1" customWidth="1"/>
    <col min="29" max="29" width="23.08984375" style="128" bestFit="1" customWidth="1"/>
    <col min="30" max="30" width="24" style="128" bestFit="1" customWidth="1"/>
    <col min="31" max="31" width="32.453125" style="128" bestFit="1" customWidth="1"/>
    <col min="32" max="32" width="23.08984375" style="128" bestFit="1" customWidth="1"/>
    <col min="33" max="33" width="23.6328125" style="128" bestFit="1" customWidth="1"/>
    <col min="34" max="34" width="29.08984375" style="128" bestFit="1" customWidth="1"/>
    <col min="35" max="35" width="24" style="128" bestFit="1" customWidth="1"/>
    <col min="36" max="36" width="32.08984375" style="128" bestFit="1" customWidth="1"/>
    <col min="37" max="37" width="8.36328125" style="128" bestFit="1" customWidth="1"/>
    <col min="38" max="38" width="20.453125" style="128" bestFit="1" customWidth="1"/>
    <col min="39" max="39" width="14" style="128" bestFit="1" customWidth="1"/>
    <col min="40" max="40" width="11.08984375" style="128" bestFit="1" customWidth="1"/>
    <col min="41" max="41" width="8.6328125" style="128" bestFit="1" customWidth="1"/>
    <col min="42" max="42" width="43" style="128" bestFit="1" customWidth="1"/>
    <col min="43" max="43" width="36" style="128" bestFit="1" customWidth="1"/>
    <col min="44" max="44" width="31.90625" style="128" bestFit="1" customWidth="1"/>
    <col min="45" max="45" width="8.6328125" style="128" bestFit="1" customWidth="1"/>
    <col min="46" max="46" width="20.453125" style="128" bestFit="1" customWidth="1"/>
    <col min="47" max="47" width="14" style="128" bestFit="1" customWidth="1"/>
    <col min="48" max="48" width="11.08984375" style="128" bestFit="1" customWidth="1"/>
    <col min="49" max="49" width="8.6328125" style="128" bestFit="1" customWidth="1"/>
    <col min="50" max="51" width="16" style="128" bestFit="1" customWidth="1"/>
    <col min="52" max="52" width="14.90625" style="128" bestFit="1" customWidth="1"/>
    <col min="53" max="53" width="9.36328125" style="128" bestFit="1" customWidth="1"/>
    <col min="54" max="54" width="17" style="128" bestFit="1" customWidth="1"/>
    <col min="55" max="55" width="16.36328125" style="128" bestFit="1" customWidth="1"/>
    <col min="56" max="56" width="14.453125" style="128" bestFit="1" customWidth="1"/>
    <col min="57" max="57" width="19.90625" style="128" bestFit="1" customWidth="1"/>
    <col min="58" max="58" width="9.6328125" style="128" bestFit="1" customWidth="1"/>
    <col min="59" max="59" width="12" style="128" bestFit="1" customWidth="1"/>
    <col min="60" max="60" width="16.6328125" style="128" bestFit="1" customWidth="1"/>
    <col min="61" max="61" width="15.6328125" style="128" bestFit="1" customWidth="1"/>
    <col min="62" max="62" width="17.36328125" style="128" bestFit="1" customWidth="1"/>
    <col min="63" max="63" width="19.6328125" style="128" bestFit="1" customWidth="1"/>
    <col min="64" max="64" width="12" style="128" bestFit="1" customWidth="1"/>
    <col min="65" max="65" width="27.90625" style="128" bestFit="1" customWidth="1"/>
    <col min="66" max="66" width="14.453125" style="128" bestFit="1" customWidth="1"/>
    <col min="67" max="67" width="15.6328125" style="128" bestFit="1" customWidth="1"/>
    <col min="68" max="68" width="10.08984375" style="128" bestFit="1" customWidth="1"/>
    <col min="69" max="69" width="17.36328125" style="128" bestFit="1" customWidth="1"/>
    <col min="70" max="70" width="21.54296875" style="128" bestFit="1" customWidth="1"/>
    <col min="71" max="71" width="25" style="128" bestFit="1" customWidth="1"/>
    <col min="72" max="72" width="16.453125" style="128" bestFit="1" customWidth="1"/>
    <col min="73" max="73" width="15.6328125" style="128" bestFit="1" customWidth="1"/>
    <col min="74" max="74" width="13.08984375" style="128" bestFit="1" customWidth="1"/>
    <col min="75" max="75" width="16.453125" style="128" bestFit="1" customWidth="1"/>
    <col min="76" max="76" width="11.54296875" style="128" bestFit="1" customWidth="1"/>
    <col min="77" max="77" width="14" style="128" bestFit="1" customWidth="1"/>
    <col min="78" max="78" width="16.453125" style="128" bestFit="1" customWidth="1"/>
    <col min="79" max="79" width="12" style="128" bestFit="1" customWidth="1"/>
    <col min="80" max="80" width="15" style="128" bestFit="1" customWidth="1"/>
    <col min="81" max="81" width="16.453125" style="128" bestFit="1" customWidth="1"/>
    <col min="82" max="82" width="13.36328125" style="128" bestFit="1" customWidth="1"/>
    <col min="83" max="83" width="14.6328125" style="128" bestFit="1" customWidth="1"/>
    <col min="84" max="84" width="16.453125" style="128" bestFit="1" customWidth="1"/>
    <col min="85" max="85" width="36.54296875" style="128" bestFit="1" customWidth="1"/>
    <col min="86" max="86" width="21" style="128" bestFit="1" customWidth="1"/>
    <col min="87" max="87" width="32.90625" style="128" bestFit="1" customWidth="1"/>
    <col min="88" max="88" width="16.453125" style="128" bestFit="1" customWidth="1"/>
    <col min="89" max="89" width="14.36328125" style="129" bestFit="1" customWidth="1"/>
    <col min="90" max="90" width="34.453125" style="128" bestFit="1" customWidth="1"/>
    <col min="91" max="91" width="50.453125" style="128" bestFit="1" customWidth="1"/>
    <col min="92" max="92" width="14.36328125" style="128" hidden="1" customWidth="1"/>
    <col min="93" max="93" width="16.6328125" style="128" hidden="1" customWidth="1"/>
    <col min="94" max="94" width="19.08984375" style="128" hidden="1" customWidth="1"/>
    <col min="95" max="95" width="12.90625" style="129" hidden="1" customWidth="1"/>
    <col min="96" max="96" width="35.36328125" style="128" hidden="1" customWidth="1"/>
    <col min="97" max="97" width="48.453125" style="128" hidden="1" customWidth="1"/>
    <col min="98" max="98" width="11.54296875" style="128" hidden="1" customWidth="1"/>
    <col min="99" max="99" width="18.453125" style="128" hidden="1" customWidth="1"/>
    <col min="100" max="100" width="9.54296875" style="128" hidden="1" customWidth="1"/>
    <col min="101" max="101" width="16.08984375" style="128" hidden="1" customWidth="1"/>
    <col min="102" max="102" width="10.6328125" style="128" hidden="1" customWidth="1"/>
    <col min="103" max="103" width="15.6328125" style="128" hidden="1" customWidth="1"/>
    <col min="104" max="104" width="15.453125" style="128" hidden="1" customWidth="1"/>
    <col min="105" max="105" width="13.453125" style="128" hidden="1" customWidth="1"/>
    <col min="106" max="106" width="17.453125" style="128" hidden="1" customWidth="1"/>
    <col min="107" max="107" width="13.08984375" style="128" hidden="1" customWidth="1"/>
    <col min="108" max="108" width="10.54296875" style="128" hidden="1" customWidth="1"/>
    <col min="109" max="109" width="18.08984375" style="128" hidden="1" customWidth="1"/>
    <col min="110" max="110" width="17.90625" style="128" hidden="1" customWidth="1"/>
    <col min="111" max="111" width="11.6328125" style="128" hidden="1" customWidth="1"/>
    <col min="112" max="112" width="31" style="128" hidden="1" customWidth="1"/>
    <col min="113" max="113" width="35.453125" style="128" hidden="1" customWidth="1"/>
    <col min="114" max="114" width="21.453125" style="128" hidden="1" customWidth="1"/>
    <col min="115" max="115" width="15.54296875" style="128" hidden="1" customWidth="1"/>
    <col min="116" max="116" width="21.54296875" style="128" hidden="1" customWidth="1"/>
    <col min="117" max="118" width="22.6328125" style="128" hidden="1" customWidth="1"/>
    <col min="119" max="119" width="22.90625" style="128" hidden="1" customWidth="1"/>
    <col min="120" max="120" width="15.54296875" style="128" hidden="1" customWidth="1"/>
    <col min="121" max="121" width="21.54296875" style="128" hidden="1" customWidth="1"/>
    <col min="122" max="123" width="22.6328125" style="128" hidden="1" customWidth="1"/>
    <col min="124" max="124" width="22.90625" style="128" hidden="1" customWidth="1"/>
    <col min="125" max="125" width="24.453125" style="130" hidden="1" customWidth="1"/>
    <col min="126" max="126" width="24.453125" style="130" bestFit="1" customWidth="1"/>
    <col min="127" max="127" width="9.08984375" style="130" customWidth="1"/>
    <col min="128" max="16384" width="9.08984375" style="130" hidden="1"/>
  </cols>
  <sheetData>
    <row r="1" spans="1:127" s="151" customFormat="1" ht="13">
      <c r="A1" s="158"/>
      <c r="B1" s="159"/>
      <c r="C1" s="159"/>
      <c r="D1" s="159"/>
      <c r="E1" s="164"/>
      <c r="F1" s="159"/>
      <c r="G1" s="164"/>
      <c r="H1" s="159"/>
      <c r="I1" s="164"/>
      <c r="J1" s="159"/>
      <c r="K1" s="164"/>
      <c r="L1" s="159"/>
      <c r="M1" s="159"/>
      <c r="N1" s="159"/>
      <c r="O1" s="159"/>
      <c r="P1" s="159"/>
      <c r="Q1" s="159"/>
      <c r="R1" s="173"/>
      <c r="S1" s="336"/>
      <c r="T1" s="337"/>
      <c r="U1" s="337"/>
      <c r="V1" s="338"/>
      <c r="W1" s="336"/>
      <c r="X1" s="337"/>
      <c r="Y1" s="337"/>
      <c r="Z1" s="338"/>
      <c r="AA1" s="336"/>
      <c r="AB1" s="337"/>
      <c r="AC1" s="337"/>
      <c r="AD1" s="337"/>
      <c r="AE1" s="337"/>
      <c r="AF1" s="338"/>
      <c r="AG1" s="150"/>
      <c r="AH1" s="336"/>
      <c r="AI1" s="337"/>
      <c r="AJ1" s="337"/>
      <c r="AK1" s="338"/>
      <c r="AL1" s="336"/>
      <c r="AM1" s="337"/>
      <c r="AN1" s="337"/>
      <c r="AO1" s="338"/>
      <c r="AP1" s="336"/>
      <c r="AQ1" s="337"/>
      <c r="AR1" s="337"/>
      <c r="AS1" s="338"/>
      <c r="AT1" s="336"/>
      <c r="AU1" s="337"/>
      <c r="AV1" s="337"/>
      <c r="AW1" s="338"/>
      <c r="AX1" s="336"/>
      <c r="AY1" s="337"/>
      <c r="AZ1" s="337"/>
      <c r="BA1" s="337"/>
      <c r="BB1" s="338"/>
      <c r="BC1" s="336"/>
      <c r="BD1" s="337"/>
      <c r="BE1" s="337"/>
      <c r="BF1" s="337"/>
      <c r="BG1" s="338"/>
      <c r="BH1" s="336"/>
      <c r="BI1" s="337"/>
      <c r="BJ1" s="337"/>
      <c r="BK1" s="337"/>
      <c r="BL1" s="338"/>
      <c r="BM1" s="336"/>
      <c r="BN1" s="337"/>
      <c r="BO1" s="337"/>
      <c r="BP1" s="337"/>
      <c r="BQ1" s="338"/>
      <c r="BR1" s="336"/>
      <c r="BS1" s="337"/>
      <c r="BT1" s="337"/>
      <c r="BU1" s="337"/>
      <c r="BV1" s="337"/>
      <c r="BW1" s="337"/>
      <c r="BX1" s="337"/>
      <c r="BY1" s="337"/>
      <c r="BZ1" s="337"/>
      <c r="CA1" s="337"/>
      <c r="CB1" s="337"/>
      <c r="CC1" s="337"/>
      <c r="CD1" s="337"/>
      <c r="CE1" s="337"/>
      <c r="CF1" s="337"/>
      <c r="CG1" s="338"/>
      <c r="CH1" s="336"/>
      <c r="CI1" s="337"/>
      <c r="CJ1" s="337"/>
      <c r="CK1" s="337"/>
      <c r="CL1" s="337"/>
      <c r="CM1" s="337"/>
      <c r="CN1" s="337"/>
      <c r="CO1" s="337"/>
      <c r="CP1" s="337"/>
      <c r="CQ1" s="337"/>
      <c r="CR1" s="337"/>
      <c r="CS1" s="338"/>
      <c r="CT1" s="150"/>
      <c r="CU1" s="158"/>
      <c r="CV1" s="159"/>
      <c r="CW1" s="159"/>
      <c r="CX1" s="159"/>
      <c r="CY1" s="159"/>
      <c r="CZ1" s="159"/>
      <c r="DA1" s="160"/>
      <c r="DB1" s="336"/>
      <c r="DC1" s="337"/>
      <c r="DD1" s="337"/>
      <c r="DE1" s="337"/>
      <c r="DF1" s="338"/>
      <c r="DG1" s="158"/>
      <c r="DH1" s="159"/>
      <c r="DI1" s="159"/>
      <c r="DJ1" s="160"/>
      <c r="DK1" s="336"/>
      <c r="DL1" s="337"/>
      <c r="DM1" s="337"/>
      <c r="DN1" s="337"/>
      <c r="DO1" s="337"/>
      <c r="DP1" s="337"/>
      <c r="DQ1" s="337"/>
      <c r="DR1" s="337"/>
      <c r="DS1" s="337"/>
      <c r="DT1" s="338"/>
    </row>
    <row r="2" spans="1:127" s="157" customFormat="1" ht="37.5" hidden="1" customHeight="1" thickBot="1">
      <c r="A2" s="132" t="s">
        <v>90</v>
      </c>
      <c r="B2" s="133" t="s">
        <v>91</v>
      </c>
      <c r="C2" s="133" t="s">
        <v>120</v>
      </c>
      <c r="D2" s="133" t="s">
        <v>263</v>
      </c>
      <c r="E2" s="133" t="s">
        <v>92</v>
      </c>
      <c r="F2" s="133" t="s">
        <v>93</v>
      </c>
      <c r="G2" s="133" t="s">
        <v>94</v>
      </c>
      <c r="H2" s="133" t="s">
        <v>95</v>
      </c>
      <c r="I2" s="133" t="s">
        <v>96</v>
      </c>
      <c r="J2" s="133" t="s">
        <v>97</v>
      </c>
      <c r="K2" s="133" t="s">
        <v>5</v>
      </c>
      <c r="L2" s="133" t="s">
        <v>98</v>
      </c>
      <c r="M2" s="133" t="s">
        <v>1</v>
      </c>
      <c r="N2" s="133" t="s">
        <v>25</v>
      </c>
      <c r="O2" s="133" t="s">
        <v>268</v>
      </c>
      <c r="P2" s="133" t="s">
        <v>99</v>
      </c>
      <c r="Q2" s="133" t="s">
        <v>100</v>
      </c>
      <c r="R2" s="154" t="s">
        <v>27</v>
      </c>
      <c r="S2" s="132" t="s">
        <v>101</v>
      </c>
      <c r="T2" s="133" t="s">
        <v>442</v>
      </c>
      <c r="U2" s="133" t="s">
        <v>443</v>
      </c>
      <c r="V2" s="154" t="s">
        <v>444</v>
      </c>
      <c r="W2" s="132" t="s">
        <v>304</v>
      </c>
      <c r="X2" s="133" t="s">
        <v>445</v>
      </c>
      <c r="Y2" s="133" t="s">
        <v>446</v>
      </c>
      <c r="Z2" s="154" t="s">
        <v>447</v>
      </c>
      <c r="AA2" s="132" t="s">
        <v>122</v>
      </c>
      <c r="AB2" s="133" t="s">
        <v>102</v>
      </c>
      <c r="AC2" s="133" t="s">
        <v>103</v>
      </c>
      <c r="AD2" s="133" t="s">
        <v>104</v>
      </c>
      <c r="AE2" s="133" t="s">
        <v>105</v>
      </c>
      <c r="AF2" s="154" t="s">
        <v>106</v>
      </c>
      <c r="AG2" s="134" t="s">
        <v>107</v>
      </c>
      <c r="AH2" s="135" t="s">
        <v>448</v>
      </c>
      <c r="AI2" s="136" t="s">
        <v>449</v>
      </c>
      <c r="AJ2" s="136" t="s">
        <v>450</v>
      </c>
      <c r="AK2" s="137" t="s">
        <v>451</v>
      </c>
      <c r="AL2" s="140" t="s">
        <v>452</v>
      </c>
      <c r="AM2" s="138" t="s">
        <v>453</v>
      </c>
      <c r="AN2" s="138" t="s">
        <v>454</v>
      </c>
      <c r="AO2" s="139" t="s">
        <v>455</v>
      </c>
      <c r="AP2" s="141" t="s">
        <v>456</v>
      </c>
      <c r="AQ2" s="142" t="s">
        <v>457</v>
      </c>
      <c r="AR2" s="142" t="s">
        <v>458</v>
      </c>
      <c r="AS2" s="143" t="s">
        <v>459</v>
      </c>
      <c r="AT2" s="144" t="s">
        <v>460</v>
      </c>
      <c r="AU2" s="145" t="s">
        <v>461</v>
      </c>
      <c r="AV2" s="145" t="s">
        <v>462</v>
      </c>
      <c r="AW2" s="165" t="s">
        <v>463</v>
      </c>
      <c r="AX2" s="132" t="s">
        <v>464</v>
      </c>
      <c r="AY2" s="133" t="s">
        <v>465</v>
      </c>
      <c r="AZ2" s="133" t="s">
        <v>481</v>
      </c>
      <c r="BA2" s="133" t="s">
        <v>482</v>
      </c>
      <c r="BB2" s="154" t="s">
        <v>483</v>
      </c>
      <c r="BC2" s="155" t="s">
        <v>466</v>
      </c>
      <c r="BD2" s="146" t="s">
        <v>467</v>
      </c>
      <c r="BE2" s="146" t="s">
        <v>472</v>
      </c>
      <c r="BF2" s="146" t="s">
        <v>473</v>
      </c>
      <c r="BG2" s="147" t="s">
        <v>474</v>
      </c>
      <c r="BH2" s="156" t="s">
        <v>468</v>
      </c>
      <c r="BI2" s="148" t="s">
        <v>469</v>
      </c>
      <c r="BJ2" s="148" t="s">
        <v>475</v>
      </c>
      <c r="BK2" s="148" t="s">
        <v>479</v>
      </c>
      <c r="BL2" s="149" t="s">
        <v>476</v>
      </c>
      <c r="BM2" s="135" t="s">
        <v>470</v>
      </c>
      <c r="BN2" s="136" t="s">
        <v>471</v>
      </c>
      <c r="BO2" s="136" t="s">
        <v>477</v>
      </c>
      <c r="BP2" s="136" t="s">
        <v>478</v>
      </c>
      <c r="BQ2" s="137" t="s">
        <v>480</v>
      </c>
      <c r="BR2" s="135" t="s">
        <v>108</v>
      </c>
      <c r="BS2" s="136" t="s">
        <v>109</v>
      </c>
      <c r="BT2" s="136" t="s">
        <v>412</v>
      </c>
      <c r="BU2" s="136" t="s">
        <v>110</v>
      </c>
      <c r="BV2" s="136" t="s">
        <v>111</v>
      </c>
      <c r="BW2" s="136" t="s">
        <v>484</v>
      </c>
      <c r="BX2" s="136" t="s">
        <v>112</v>
      </c>
      <c r="BY2" s="136" t="s">
        <v>113</v>
      </c>
      <c r="BZ2" s="136" t="s">
        <v>485</v>
      </c>
      <c r="CA2" s="136" t="s">
        <v>114</v>
      </c>
      <c r="CB2" s="136" t="s">
        <v>115</v>
      </c>
      <c r="CC2" s="136" t="s">
        <v>486</v>
      </c>
      <c r="CD2" s="136" t="s">
        <v>116</v>
      </c>
      <c r="CE2" s="136" t="s">
        <v>117</v>
      </c>
      <c r="CF2" s="136" t="s">
        <v>487</v>
      </c>
      <c r="CG2" s="137" t="s">
        <v>305</v>
      </c>
      <c r="CH2" s="135" t="s">
        <v>118</v>
      </c>
      <c r="CI2" s="136" t="s">
        <v>119</v>
      </c>
      <c r="CJ2" s="136" t="s">
        <v>413</v>
      </c>
      <c r="CK2" s="136" t="s">
        <v>300</v>
      </c>
      <c r="CL2" s="136" t="s">
        <v>410</v>
      </c>
      <c r="CM2" s="136" t="s">
        <v>411</v>
      </c>
      <c r="CN2" s="136" t="s">
        <v>301</v>
      </c>
      <c r="CO2" s="136" t="s">
        <v>302</v>
      </c>
      <c r="CP2" s="136" t="s">
        <v>414</v>
      </c>
      <c r="CQ2" s="136" t="s">
        <v>303</v>
      </c>
      <c r="CR2" s="136" t="s">
        <v>415</v>
      </c>
      <c r="CS2" s="137" t="s">
        <v>416</v>
      </c>
      <c r="CT2" s="134" t="s">
        <v>43</v>
      </c>
      <c r="CU2" s="135" t="s">
        <v>41</v>
      </c>
      <c r="CV2" s="136" t="s">
        <v>273</v>
      </c>
      <c r="CW2" s="136" t="s">
        <v>30</v>
      </c>
      <c r="CX2" s="136" t="s">
        <v>261</v>
      </c>
      <c r="CY2" s="136" t="s">
        <v>270</v>
      </c>
      <c r="CZ2" s="136" t="s">
        <v>271</v>
      </c>
      <c r="DA2" s="137" t="s">
        <v>272</v>
      </c>
      <c r="DB2" s="166" t="s">
        <v>276</v>
      </c>
      <c r="DC2" s="161" t="s">
        <v>275</v>
      </c>
      <c r="DD2" s="161" t="s">
        <v>277</v>
      </c>
      <c r="DE2" s="161" t="s">
        <v>278</v>
      </c>
      <c r="DF2" s="167" t="s">
        <v>279</v>
      </c>
      <c r="DG2" s="135" t="s">
        <v>280</v>
      </c>
      <c r="DH2" s="136" t="s">
        <v>282</v>
      </c>
      <c r="DI2" s="136" t="s">
        <v>269</v>
      </c>
      <c r="DJ2" s="137" t="s">
        <v>317</v>
      </c>
      <c r="DK2" s="168" t="s">
        <v>322</v>
      </c>
      <c r="DL2" s="162" t="s">
        <v>323</v>
      </c>
      <c r="DM2" s="162" t="s">
        <v>326</v>
      </c>
      <c r="DN2" s="162" t="s">
        <v>324</v>
      </c>
      <c r="DO2" s="163" t="s">
        <v>325</v>
      </c>
      <c r="DP2" s="172" t="s">
        <v>327</v>
      </c>
      <c r="DQ2" s="162" t="s">
        <v>328</v>
      </c>
      <c r="DR2" s="162" t="s">
        <v>329</v>
      </c>
      <c r="DS2" s="162" t="s">
        <v>330</v>
      </c>
      <c r="DT2" s="163" t="s">
        <v>331</v>
      </c>
    </row>
    <row r="3" spans="1:127" s="131" customFormat="1" ht="66" hidden="1" customHeight="1">
      <c r="A3" s="189">
        <v>1</v>
      </c>
      <c r="B3" s="190">
        <f>VLOOKUP(B2,'Data entry sheet'!$B$3:$C$150,2,0)</f>
        <v>0</v>
      </c>
      <c r="C3" s="190">
        <f>VLOOKUP(C2,'Data entry sheet'!$B$3:$C$150,2,0)</f>
        <v>0</v>
      </c>
      <c r="D3" s="190">
        <f>VLOOKUP(D2,'Data entry sheet'!$B$3:$C$150,2,0)</f>
        <v>0</v>
      </c>
      <c r="E3" s="190" t="str">
        <f>VLOOKUP(E2,'Data entry sheet'!$B$3:$C$150,2,0)</f>
        <v xml:space="preserve">  </v>
      </c>
      <c r="F3" s="190" t="e">
        <f>VLOOKUP(F2,'Data entry sheet'!$B$3:$C$150,2,0)</f>
        <v>#N/A</v>
      </c>
      <c r="G3" s="192">
        <f>'Data entry sheet'!C14</f>
        <v>0</v>
      </c>
      <c r="H3" s="190">
        <f>VLOOKUP(H2,'Data entry sheet'!$B$3:$C$150,2,0)</f>
        <v>0</v>
      </c>
      <c r="I3" s="190">
        <f>VLOOKUP(I2,'Data entry sheet'!$B$3:$C$150,2,0)</f>
        <v>0</v>
      </c>
      <c r="J3" s="190">
        <f>VLOOKUP(J2,'Data entry sheet'!$B$3:$C$150,2,0)</f>
        <v>0</v>
      </c>
      <c r="K3" s="190">
        <f>VLOOKUP(K2,'Data entry sheet'!$B$3:$C$150,2,0)</f>
        <v>0</v>
      </c>
      <c r="L3" s="190">
        <f>VLOOKUP(L2,'Data entry sheet'!$B$3:$C$150,2,0)</f>
        <v>0</v>
      </c>
      <c r="M3" s="190">
        <f>VLOOKUP(M2,'Data entry sheet'!$B$3:$C$150,2,0)</f>
        <v>0</v>
      </c>
      <c r="N3" s="190" t="e">
        <f>VLOOKUP(N2,'Data entry sheet'!$B$3:$C$150,2,0)</f>
        <v>#N/A</v>
      </c>
      <c r="O3" s="190">
        <f>VLOOKUP(O2,'Data entry sheet'!$B$3:$C$150,2,0)</f>
        <v>0</v>
      </c>
      <c r="P3" s="190" t="str">
        <f>VLOOKUP(P2,'Data entry sheet'!$B$3:$C$150,2,0)</f>
        <v>India</v>
      </c>
      <c r="Q3" s="190">
        <f>VLOOKUP(Q2,'Data entry sheet'!$B$3:$C$150,2,0)</f>
        <v>0</v>
      </c>
      <c r="R3" s="190">
        <f>VLOOKUP(R2,'Data entry sheet'!$B$3:$C$150,2,0)</f>
        <v>0</v>
      </c>
      <c r="S3" s="190">
        <f>VLOOKUP(S2,'Data entry sheet'!$B$3:$C$150,2,0)</f>
        <v>0</v>
      </c>
      <c r="T3" s="190">
        <f>VLOOKUP(T2,'Data entry sheet'!$B$3:$C$150,2,0)</f>
        <v>0</v>
      </c>
      <c r="U3" s="190">
        <f>VLOOKUP(U2,'Data entry sheet'!$B$3:$C$150,2,0)</f>
        <v>0</v>
      </c>
      <c r="V3" s="190">
        <f>VLOOKUP(V2,'Data entry sheet'!$B$3:$C$150,2,0)</f>
        <v>0</v>
      </c>
      <c r="W3" s="190" t="str">
        <f>VLOOKUP(W2,'Data entry sheet'!$B$3:$C$150,2,0)</f>
        <v xml:space="preserve">, , , , </v>
      </c>
      <c r="X3" s="190">
        <f>VLOOKUP(X2,'Data entry sheet'!$B$3:$C$150,2,0)</f>
        <v>0</v>
      </c>
      <c r="Y3" s="190">
        <f>VLOOKUP(Y2,'Data entry sheet'!$B$3:$C$150,2,0)</f>
        <v>0</v>
      </c>
      <c r="Z3" s="190">
        <f>VLOOKUP(Z2,'Data entry sheet'!$B$3:$C$150,2,0)</f>
        <v>0</v>
      </c>
      <c r="AA3" s="190">
        <f>VLOOKUP(AA2,'Data entry sheet'!$B$3:$C$150,2,0)</f>
        <v>0</v>
      </c>
      <c r="AB3" s="190">
        <f>VLOOKUP(AB2,'Data entry sheet'!$B$3:$C$150,2,0)</f>
        <v>0</v>
      </c>
      <c r="AC3" s="190" t="e">
        <f>VLOOKUP(AC2,'Data entry sheet'!$B$3:$C$150,2,0)</f>
        <v>#N/A</v>
      </c>
      <c r="AD3" s="190">
        <f>VLOOKUP(AD2,'Data entry sheet'!$B$3:$C$150,2,0)</f>
        <v>0</v>
      </c>
      <c r="AE3" s="190">
        <f>VLOOKUP(AE2,'Data entry sheet'!$B$3:$C$150,2,0)</f>
        <v>0</v>
      </c>
      <c r="AF3" s="190">
        <f>VLOOKUP(AF2,'Data entry sheet'!$B$3:$C$150,2,0)</f>
        <v>0</v>
      </c>
      <c r="AG3" s="190" t="e">
        <f>VLOOKUP(AG2,'Data entry sheet'!$B$3:$C$150,2,0)</f>
        <v>#N/A</v>
      </c>
      <c r="AH3" s="190">
        <f>VLOOKUP(AH2,'Data entry sheet'!$B$3:$C$150,2,0)</f>
        <v>0</v>
      </c>
      <c r="AI3" s="190" t="e">
        <f>VLOOKUP(AI2,'Data entry sheet'!$B$3:$C$150,2,0)</f>
        <v>#N/A</v>
      </c>
      <c r="AJ3" s="190">
        <f>VLOOKUP(AJ2,'Data entry sheet'!$B$3:$C$150,2,0)</f>
        <v>0</v>
      </c>
      <c r="AK3" s="190">
        <f>VLOOKUP(AK2,'Data entry sheet'!$B$3:$C$150,2,0)</f>
        <v>0</v>
      </c>
      <c r="AL3" s="190">
        <f>VLOOKUP(AL2,'Data entry sheet'!$B$3:$C$150,2,0)</f>
        <v>0</v>
      </c>
      <c r="AM3" s="190">
        <f>VLOOKUP(AM2,'Data entry sheet'!$B$3:$C$150,2,0)</f>
        <v>0</v>
      </c>
      <c r="AN3" s="190">
        <f>VLOOKUP(AN2,'Data entry sheet'!$B$3:$C$150,2,0)</f>
        <v>0</v>
      </c>
      <c r="AO3" s="190">
        <f>VLOOKUP(AO2,'Data entry sheet'!$B$3:$C$150,2,0)</f>
        <v>0</v>
      </c>
      <c r="AP3" s="190">
        <f>VLOOKUP(AP2,'Data entry sheet'!$B$3:$C$150,2,0)</f>
        <v>0</v>
      </c>
      <c r="AQ3" s="190">
        <f>VLOOKUP(AQ2,'Data entry sheet'!$B$3:$C$150,2,0)</f>
        <v>0</v>
      </c>
      <c r="AR3" s="190">
        <f>VLOOKUP(AR2,'Data entry sheet'!$B$3:$C$150,2,0)</f>
        <v>0</v>
      </c>
      <c r="AS3" s="190">
        <f>VLOOKUP(AS2,'Data entry sheet'!$B$3:$C$150,2,0)</f>
        <v>0</v>
      </c>
      <c r="AT3" s="190">
        <f>VLOOKUP(AT2,'Data entry sheet'!$B$3:$C$150,2,0)</f>
        <v>0</v>
      </c>
      <c r="AU3" s="190">
        <f>VLOOKUP(AU2,'Data entry sheet'!$B$3:$C$150,2,0)</f>
        <v>0</v>
      </c>
      <c r="AV3" s="190">
        <f>VLOOKUP(AV2,'Data entry sheet'!$B$3:$C$150,2,0)</f>
        <v>0</v>
      </c>
      <c r="AW3" s="190">
        <f>VLOOKUP(AW2,'Data entry sheet'!$B$3:$C$150,2,0)</f>
        <v>0</v>
      </c>
      <c r="AX3" s="190">
        <f>VLOOKUP(AX2,'Data entry sheet'!$B$3:$C$150,2,0)</f>
        <v>0</v>
      </c>
      <c r="AY3" s="190">
        <f>VLOOKUP(AY2,'Data entry sheet'!$B$3:$C$150,2,0)</f>
        <v>0</v>
      </c>
      <c r="AZ3" s="190" t="e">
        <f>VLOOKUP(AZ2,'Data entry sheet'!$B$3:$C$150,2,0)</f>
        <v>#N/A</v>
      </c>
      <c r="BA3" s="190">
        <f>VLOOKUP(BA2,'Data entry sheet'!$B$3:$C$150,2,0)</f>
        <v>0</v>
      </c>
      <c r="BB3" s="190">
        <f>VLOOKUP(BB2,'Data entry sheet'!$B$3:$C$150,2,0)</f>
        <v>0</v>
      </c>
      <c r="BC3" s="190">
        <f>VLOOKUP(BC2,'Data entry sheet'!$B$3:$C$150,2,0)</f>
        <v>0</v>
      </c>
      <c r="BD3" s="190">
        <f>VLOOKUP(BD2,'Data entry sheet'!$B$3:$C$150,2,0)</f>
        <v>0</v>
      </c>
      <c r="BE3" s="190">
        <f>VLOOKUP(BE2,'Data entry sheet'!$B$3:$C$150,2,0)</f>
        <v>0</v>
      </c>
      <c r="BF3" s="190">
        <f>VLOOKUP(BF2,'Data entry sheet'!$B$3:$C$150,2,0)</f>
        <v>0</v>
      </c>
      <c r="BG3" s="190">
        <f>VLOOKUP(BG2,'Data entry sheet'!$B$3:$C$150,2,0)</f>
        <v>0</v>
      </c>
      <c r="BH3" s="190">
        <f>VLOOKUP(BH2,'Data entry sheet'!$B$3:$C$150,2,0)</f>
        <v>0</v>
      </c>
      <c r="BI3" s="190">
        <f>VLOOKUP(BI2,'Data entry sheet'!$B$3:$C$150,2,0)</f>
        <v>0</v>
      </c>
      <c r="BJ3" s="190">
        <f>VLOOKUP(BJ2,'Data entry sheet'!$B$3:$C$150,2,0)</f>
        <v>0</v>
      </c>
      <c r="BK3" s="190">
        <f>VLOOKUP(BK2,'Data entry sheet'!$B$3:$C$150,2,0)</f>
        <v>0</v>
      </c>
      <c r="BL3" s="190">
        <f>VLOOKUP(BL2,'Data entry sheet'!$B$3:$C$150,2,0)</f>
        <v>0</v>
      </c>
      <c r="BM3" s="190">
        <f>VLOOKUP(BM2,'Data entry sheet'!$B$3:$C$150,2,0)</f>
        <v>0</v>
      </c>
      <c r="BN3" s="190">
        <f>VLOOKUP(BN2,'Data entry sheet'!$B$3:$C$150,2,0)</f>
        <v>0</v>
      </c>
      <c r="BO3" s="190">
        <f>VLOOKUP(BO2,'Data entry sheet'!$B$3:$C$150,2,0)</f>
        <v>0</v>
      </c>
      <c r="BP3" s="190">
        <f>VLOOKUP(BP2,'Data entry sheet'!$B$3:$C$150,2,0)</f>
        <v>0</v>
      </c>
      <c r="BQ3" s="190">
        <f>VLOOKUP(BQ2,'Data entry sheet'!$B$3:$C$150,2,0)</f>
        <v>0</v>
      </c>
      <c r="BR3" s="190">
        <f>VLOOKUP(BR2,'Data entry sheet'!$B$3:$C$150,2,0)</f>
        <v>0</v>
      </c>
      <c r="BS3" s="190" t="e">
        <f>VLOOKUP(BS2,'Data entry sheet'!$B$3:$C$150,2,0)</f>
        <v>#N/A</v>
      </c>
      <c r="BT3" s="190" t="str">
        <f>VLOOKUP(BT2,'Data entry sheet'!$B$3:$C$150,2,0)</f>
        <v/>
      </c>
      <c r="BU3" s="190">
        <f>VLOOKUP(BU2,'Data entry sheet'!$B$3:$C$150,2,0)</f>
        <v>0</v>
      </c>
      <c r="BV3" s="190" t="e">
        <f>VLOOKUP(BV2,'Data entry sheet'!$B$3:$C$150,2,0)</f>
        <v>#N/A</v>
      </c>
      <c r="BW3" s="190" t="str">
        <f>VLOOKUP(BW2,'Data entry sheet'!$B$3:$C$150,2,0)</f>
        <v/>
      </c>
      <c r="BX3" s="190">
        <f>VLOOKUP(BX2,'Data entry sheet'!$B$3:$C$150,2,0)</f>
        <v>0</v>
      </c>
      <c r="BY3" s="190" t="e">
        <f>VLOOKUP(BY2,'Data entry sheet'!$B$3:$C$150,2,0)</f>
        <v>#N/A</v>
      </c>
      <c r="BZ3" s="190">
        <f>VLOOKUP(BZ2,'Data entry sheet'!$B$3:$C$150,2,0)</f>
        <v>0</v>
      </c>
      <c r="CA3" s="190">
        <f>VLOOKUP(CA2,'Data entry sheet'!$B$3:$C$150,2,0)</f>
        <v>0</v>
      </c>
      <c r="CB3" s="190" t="e">
        <f>VLOOKUP(CB2,'Data entry sheet'!$B$3:$C$150,2,0)</f>
        <v>#N/A</v>
      </c>
      <c r="CC3" s="190">
        <f>VLOOKUP(CC2,'Data entry sheet'!$B$3:$C$150,2,0)</f>
        <v>0</v>
      </c>
      <c r="CD3" s="190">
        <f>VLOOKUP(CD2,'Data entry sheet'!$B$3:$C$150,2,0)</f>
        <v>0</v>
      </c>
      <c r="CE3" s="190" t="e">
        <f>VLOOKUP(CE2,'Data entry sheet'!$B$3:$C$150,2,0)</f>
        <v>#N/A</v>
      </c>
      <c r="CF3" s="190">
        <f>VLOOKUP(CF2,'Data entry sheet'!$B$3:$C$150,2,0)</f>
        <v>0</v>
      </c>
      <c r="CG3" s="190">
        <f>VLOOKUP(CG2,'Data entry sheet'!$B$3:$C$150,2,0)</f>
        <v>0</v>
      </c>
      <c r="CH3" s="190" t="str">
        <f>VLOOKUP(CH2,'Data entry sheet'!$B$3:$C$150,2,0)</f>
        <v xml:space="preserve"> </v>
      </c>
      <c r="CI3" s="190">
        <f>VLOOKUP(CI2,'Data entry sheet'!$B$3:$C$150,2,0)</f>
        <v>0</v>
      </c>
      <c r="CJ3" s="190">
        <f>VLOOKUP(CJ2,'Data entry sheet'!$B$3:$C$150,2,0)</f>
        <v>0</v>
      </c>
      <c r="CK3" s="190" t="e">
        <f>VLOOKUP(CK2,'Data entry sheet'!$B$3:$C$150,2,0)</f>
        <v>#N/A</v>
      </c>
      <c r="CL3" s="200">
        <f>VLOOKUP(CL2,'Data entry sheet'!$B$3:$C$150,2,0)</f>
        <v>0</v>
      </c>
      <c r="CM3" s="190">
        <f>VLOOKUP(CM2,'Data entry sheet'!$B$3:$C$150,2,0)</f>
        <v>0</v>
      </c>
      <c r="CN3" s="190">
        <f>VLOOKUP(CN2,'Data entry sheet'!$B$3:$C$150,2,0)</f>
        <v>0</v>
      </c>
      <c r="CO3" s="190">
        <f>VLOOKUP(CO2,'Data entry sheet'!$B$3:$C$150,2,0)</f>
        <v>0</v>
      </c>
      <c r="CP3" s="190">
        <f>VLOOKUP(CP2,'Data entry sheet'!$B$3:$C$150,2,0)</f>
        <v>0</v>
      </c>
      <c r="CQ3" s="190" t="e">
        <f>VLOOKUP(CQ2,'Data entry sheet'!$B$3:$C$150,2,0)</f>
        <v>#N/A</v>
      </c>
      <c r="CR3" s="190">
        <f>VLOOKUP(CR2,'Data entry sheet'!$B$3:$C$150,2,0)</f>
        <v>0</v>
      </c>
      <c r="CS3" s="190">
        <f>VLOOKUP(CS2,'Data entry sheet'!$B$3:$C$150,2,0)</f>
        <v>0</v>
      </c>
      <c r="CT3" s="190">
        <f>VLOOKUP(CT2,'Data entry sheet'!$B$3:$C$150,2,0)</f>
        <v>0</v>
      </c>
      <c r="CU3" s="190">
        <f>VLOOKUP(CU2,'Data entry sheet'!$B$3:$C$150,2,0)</f>
        <v>0</v>
      </c>
      <c r="CV3" s="190">
        <f>VLOOKUP(CV2,'Data entry sheet'!$B$3:$C$150,2,0)</f>
        <v>0</v>
      </c>
      <c r="CW3" s="190">
        <f>VLOOKUP(CW2,'Data entry sheet'!$B$3:$C$150,2,0)</f>
        <v>0</v>
      </c>
      <c r="CX3" s="190">
        <f>VLOOKUP(CX2,'Data entry sheet'!$B$3:$C$150,2,0)</f>
        <v>0</v>
      </c>
      <c r="CY3" s="190">
        <f>VLOOKUP(CY2,'Data entry sheet'!$B$3:$C$150,2,0)</f>
        <v>0</v>
      </c>
      <c r="CZ3" s="190">
        <f>VLOOKUP(CZ2,'Data entry sheet'!$B$3:$C$150,2,0)</f>
        <v>0</v>
      </c>
      <c r="DA3" s="190">
        <f>VLOOKUP(DA2,'Data entry sheet'!$B$3:$C$150,2,0)</f>
        <v>0</v>
      </c>
      <c r="DB3" s="190">
        <f>VLOOKUP(DB2,'Data entry sheet'!$B$3:$C$150,2,0)</f>
        <v>0</v>
      </c>
      <c r="DC3" s="190">
        <f>VLOOKUP(DC2,'Data entry sheet'!$B$3:$C$150,2,0)</f>
        <v>0</v>
      </c>
      <c r="DD3" s="190">
        <f>VLOOKUP(DD2,'Data entry sheet'!$B$3:$C$150,2,0)</f>
        <v>0</v>
      </c>
      <c r="DE3" s="190">
        <f>VLOOKUP(DE2,'Data entry sheet'!$B$3:$C$150,2,0)</f>
        <v>0</v>
      </c>
      <c r="DF3" s="190">
        <f>VLOOKUP(DF2,'Data entry sheet'!$B$3:$C$150,2,0)</f>
        <v>0</v>
      </c>
      <c r="DG3" s="190">
        <f>VLOOKUP(DG2,'Data entry sheet'!$B$3:$C$150,2,0)</f>
        <v>0</v>
      </c>
      <c r="DH3" s="190">
        <f>VLOOKUP(DH2,'Data entry sheet'!$B$3:$C$150,2,0)</f>
        <v>0</v>
      </c>
      <c r="DI3" s="190">
        <f>VLOOKUP(DI2,'Data entry sheet'!$B$3:$C$150,2,0)</f>
        <v>0</v>
      </c>
      <c r="DJ3" s="190">
        <f>VLOOKUP(DJ2,'Data entry sheet'!$B$3:$C$150,2,0)</f>
        <v>0</v>
      </c>
      <c r="DK3" s="190">
        <f>VLOOKUP(DK2,'Data entry sheet'!$B$3:$C$150,2,0)</f>
        <v>0</v>
      </c>
      <c r="DL3" s="190">
        <f>VLOOKUP(DL2,'Data entry sheet'!$B$3:$C$150,2,0)</f>
        <v>0</v>
      </c>
      <c r="DM3" s="190">
        <f>VLOOKUP(DM2,'Data entry sheet'!$B$3:$C$150,2,0)</f>
        <v>0</v>
      </c>
      <c r="DN3" s="190">
        <f>VLOOKUP(DN2,'Data entry sheet'!$B$3:$C$150,2,0)</f>
        <v>0</v>
      </c>
      <c r="DO3" s="190">
        <f>VLOOKUP(DO2,'Data entry sheet'!$B$3:$C$150,2,0)</f>
        <v>0</v>
      </c>
      <c r="DP3" s="190">
        <f>VLOOKUP(DP2,'Data entry sheet'!$B$3:$C$150,2,0)</f>
        <v>0</v>
      </c>
      <c r="DQ3" s="190">
        <f>VLOOKUP(DQ2,'Data entry sheet'!$B$3:$C$150,2,0)</f>
        <v>0</v>
      </c>
      <c r="DR3" s="190">
        <f>VLOOKUP(DR2,'Data entry sheet'!$B$3:$C$150,2,0)</f>
        <v>0</v>
      </c>
      <c r="DS3" s="190">
        <f>VLOOKUP(DS2,'Data entry sheet'!$B$3:$C$150,2,0)</f>
        <v>0</v>
      </c>
      <c r="DT3" s="190">
        <f>VLOOKUP(DT2,'Data entry sheet'!$B$3:$C$150,2,0)</f>
        <v>0</v>
      </c>
    </row>
    <row r="4" spans="1:127" s="170" customFormat="1" ht="10.5" hidden="1">
      <c r="A4" s="169"/>
      <c r="B4" s="169"/>
      <c r="C4" s="169"/>
      <c r="D4" s="169"/>
      <c r="E4" s="169"/>
      <c r="F4" s="169"/>
      <c r="G4" s="169"/>
      <c r="H4" s="169"/>
      <c r="I4" s="169"/>
      <c r="J4" s="169"/>
      <c r="K4" s="169"/>
      <c r="L4" s="169"/>
      <c r="M4" s="169"/>
      <c r="N4" s="169"/>
      <c r="CK4" s="171"/>
      <c r="CQ4" s="171"/>
      <c r="CU4" s="169"/>
      <c r="CV4" s="169"/>
      <c r="CW4" s="169"/>
      <c r="CX4" s="169"/>
      <c r="CY4" s="169"/>
      <c r="CZ4" s="169"/>
      <c r="DA4" s="169"/>
      <c r="DG4" s="169"/>
      <c r="DH4" s="169"/>
      <c r="DI4" s="169"/>
    </row>
    <row r="5" spans="1:127">
      <c r="A5" s="278" t="s">
        <v>515</v>
      </c>
      <c r="B5" s="278" t="s">
        <v>516</v>
      </c>
      <c r="C5" s="278" t="s">
        <v>517</v>
      </c>
      <c r="D5" s="278" t="s">
        <v>273</v>
      </c>
      <c r="E5" s="278" t="s">
        <v>518</v>
      </c>
      <c r="F5" s="278" t="s">
        <v>519</v>
      </c>
      <c r="G5" s="299" t="s">
        <v>520</v>
      </c>
      <c r="H5" s="278" t="s">
        <v>521</v>
      </c>
      <c r="I5" s="278" t="s">
        <v>522</v>
      </c>
      <c r="J5" s="278" t="s">
        <v>523</v>
      </c>
      <c r="K5" s="278" t="s">
        <v>524</v>
      </c>
      <c r="L5" s="278" t="s">
        <v>525</v>
      </c>
      <c r="M5" s="278" t="s">
        <v>526</v>
      </c>
      <c r="N5" s="278" t="s">
        <v>527</v>
      </c>
      <c r="O5" s="278" t="s">
        <v>528</v>
      </c>
      <c r="P5" s="278" t="s">
        <v>529</v>
      </c>
      <c r="Q5" s="278" t="s">
        <v>530</v>
      </c>
      <c r="R5" s="278" t="s">
        <v>531</v>
      </c>
      <c r="S5" s="278" t="s">
        <v>532</v>
      </c>
      <c r="T5" s="278" t="s">
        <v>533</v>
      </c>
      <c r="U5" s="278" t="s">
        <v>534</v>
      </c>
      <c r="V5" s="278" t="s">
        <v>535</v>
      </c>
      <c r="W5" s="278" t="s">
        <v>276</v>
      </c>
      <c r="X5" s="278" t="s">
        <v>536</v>
      </c>
      <c r="Y5" s="278" t="s">
        <v>537</v>
      </c>
      <c r="Z5" s="278" t="s">
        <v>538</v>
      </c>
      <c r="AA5" s="278" t="s">
        <v>26</v>
      </c>
      <c r="AB5" s="278" t="s">
        <v>6</v>
      </c>
      <c r="AC5" s="278" t="s">
        <v>268</v>
      </c>
      <c r="AD5" s="278" t="s">
        <v>539</v>
      </c>
      <c r="AE5" s="278" t="s">
        <v>540</v>
      </c>
      <c r="AF5" s="278" t="s">
        <v>541</v>
      </c>
      <c r="AG5" s="278" t="s">
        <v>542</v>
      </c>
      <c r="AH5" s="278" t="s">
        <v>543</v>
      </c>
      <c r="AI5" s="278" t="s">
        <v>544</v>
      </c>
      <c r="AJ5" s="278" t="s">
        <v>545</v>
      </c>
      <c r="AK5" s="278" t="s">
        <v>546</v>
      </c>
      <c r="AL5" s="278" t="s">
        <v>547</v>
      </c>
      <c r="AM5" s="278" t="s">
        <v>548</v>
      </c>
      <c r="AN5" s="278" t="s">
        <v>205</v>
      </c>
      <c r="AO5" s="278" t="s">
        <v>549</v>
      </c>
      <c r="AP5" s="278" t="s">
        <v>550</v>
      </c>
      <c r="AQ5" s="278" t="s">
        <v>551</v>
      </c>
      <c r="AR5" s="278" t="s">
        <v>552</v>
      </c>
      <c r="AS5" s="278" t="s">
        <v>553</v>
      </c>
      <c r="AT5" s="278" t="s">
        <v>554</v>
      </c>
      <c r="AU5" s="278" t="s">
        <v>555</v>
      </c>
      <c r="AV5" s="278" t="s">
        <v>556</v>
      </c>
      <c r="AW5" s="278" t="s">
        <v>557</v>
      </c>
      <c r="AX5" s="278" t="s">
        <v>558</v>
      </c>
      <c r="AY5" s="278" t="s">
        <v>559</v>
      </c>
      <c r="AZ5" s="278" t="s">
        <v>560</v>
      </c>
      <c r="BA5" s="278" t="s">
        <v>561</v>
      </c>
      <c r="BB5" s="278" t="s">
        <v>562</v>
      </c>
      <c r="BC5" s="278" t="s">
        <v>20</v>
      </c>
      <c r="BD5" s="278" t="s">
        <v>563</v>
      </c>
      <c r="BE5" s="278" t="s">
        <v>564</v>
      </c>
      <c r="BF5" s="278" t="s">
        <v>565</v>
      </c>
      <c r="BG5" s="278" t="s">
        <v>566</v>
      </c>
      <c r="BH5" s="278" t="s">
        <v>24</v>
      </c>
      <c r="BI5" s="278" t="s">
        <v>567</v>
      </c>
      <c r="BJ5" s="278" t="s">
        <v>568</v>
      </c>
      <c r="BK5" s="278" t="s">
        <v>569</v>
      </c>
      <c r="BL5" s="278" t="s">
        <v>570</v>
      </c>
      <c r="BM5" s="278" t="s">
        <v>571</v>
      </c>
      <c r="BN5" s="278" t="s">
        <v>572</v>
      </c>
      <c r="BO5" s="278" t="s">
        <v>573</v>
      </c>
      <c r="BP5" s="278" t="s">
        <v>574</v>
      </c>
      <c r="BQ5" s="278" t="s">
        <v>575</v>
      </c>
      <c r="BR5" s="278" t="s">
        <v>576</v>
      </c>
      <c r="BS5" s="278" t="s">
        <v>577</v>
      </c>
      <c r="BT5" s="278" t="s">
        <v>578</v>
      </c>
      <c r="BU5" s="278" t="s">
        <v>579</v>
      </c>
      <c r="BV5" s="278" t="s">
        <v>580</v>
      </c>
      <c r="BW5" s="278" t="s">
        <v>581</v>
      </c>
      <c r="BX5" s="278" t="s">
        <v>582</v>
      </c>
      <c r="BY5" s="278" t="s">
        <v>583</v>
      </c>
      <c r="BZ5" s="278" t="s">
        <v>584</v>
      </c>
      <c r="CA5" s="278" t="s">
        <v>585</v>
      </c>
      <c r="CB5" s="278" t="s">
        <v>586</v>
      </c>
      <c r="CC5" s="278" t="s">
        <v>587</v>
      </c>
      <c r="CD5" s="278" t="s">
        <v>588</v>
      </c>
      <c r="CE5" s="278" t="s">
        <v>589</v>
      </c>
      <c r="CF5" s="278" t="s">
        <v>590</v>
      </c>
      <c r="CG5" s="278" t="s">
        <v>591</v>
      </c>
      <c r="CH5" s="278" t="s">
        <v>592</v>
      </c>
      <c r="CI5" s="278" t="s">
        <v>593</v>
      </c>
      <c r="CJ5" s="278" t="s">
        <v>594</v>
      </c>
      <c r="CK5" s="278" t="s">
        <v>595</v>
      </c>
      <c r="CL5" s="278" t="s">
        <v>596</v>
      </c>
      <c r="CM5" s="278" t="s">
        <v>597</v>
      </c>
      <c r="CN5" s="278" t="s">
        <v>598</v>
      </c>
      <c r="CO5" s="278" t="s">
        <v>599</v>
      </c>
      <c r="CP5" s="278" t="s">
        <v>600</v>
      </c>
      <c r="CQ5" s="278" t="s">
        <v>601</v>
      </c>
      <c r="CR5" s="278" t="s">
        <v>602</v>
      </c>
      <c r="CS5" s="278" t="s">
        <v>603</v>
      </c>
      <c r="CT5" s="278" t="s">
        <v>604</v>
      </c>
      <c r="CU5" s="278" t="s">
        <v>605</v>
      </c>
      <c r="CV5" s="278" t="s">
        <v>606</v>
      </c>
      <c r="CW5" s="278" t="s">
        <v>607</v>
      </c>
      <c r="CX5" s="278" t="s">
        <v>608</v>
      </c>
      <c r="CY5" s="278" t="s">
        <v>609</v>
      </c>
      <c r="CZ5" s="278" t="s">
        <v>610</v>
      </c>
      <c r="DA5" s="278" t="s">
        <v>611</v>
      </c>
      <c r="DB5" s="278" t="s">
        <v>612</v>
      </c>
      <c r="DC5" s="278" t="s">
        <v>613</v>
      </c>
      <c r="DD5" s="278" t="s">
        <v>614</v>
      </c>
      <c r="DE5" s="278" t="s">
        <v>615</v>
      </c>
      <c r="DF5" s="278" t="s">
        <v>616</v>
      </c>
      <c r="DG5" s="278" t="s">
        <v>617</v>
      </c>
      <c r="DH5" s="278" t="s">
        <v>618</v>
      </c>
      <c r="DI5" s="278" t="s">
        <v>619</v>
      </c>
      <c r="DJ5" s="278" t="s">
        <v>620</v>
      </c>
      <c r="DK5" s="278" t="s">
        <v>621</v>
      </c>
      <c r="DL5" s="278" t="s">
        <v>622</v>
      </c>
      <c r="DM5" s="278" t="s">
        <v>623</v>
      </c>
      <c r="DN5" s="278" t="s">
        <v>624</v>
      </c>
      <c r="DO5" s="278" t="s">
        <v>625</v>
      </c>
      <c r="DP5" s="278" t="s">
        <v>626</v>
      </c>
      <c r="DQ5" s="278" t="s">
        <v>627</v>
      </c>
      <c r="DR5" s="278" t="s">
        <v>628</v>
      </c>
      <c r="DS5" s="278" t="s">
        <v>629</v>
      </c>
      <c r="DT5" s="278" t="s">
        <v>630</v>
      </c>
      <c r="DU5" s="278" t="s">
        <v>631</v>
      </c>
      <c r="DV5" s="278" t="s">
        <v>632</v>
      </c>
      <c r="DW5" s="191"/>
    </row>
    <row r="6" spans="1:127" s="284" customFormat="1" hidden="1">
      <c r="A6" s="281"/>
      <c r="B6" s="281"/>
      <c r="C6" s="282"/>
      <c r="D6" s="281">
        <f>'Data entry sheet'!C123</f>
        <v>0</v>
      </c>
      <c r="E6" s="281"/>
      <c r="F6" s="281"/>
      <c r="G6" s="281"/>
      <c r="H6" s="300">
        <f>'Data entry sheet'!C3</f>
        <v>0</v>
      </c>
      <c r="I6" s="300">
        <f>'Data entry sheet'!C7</f>
        <v>0</v>
      </c>
      <c r="J6" s="300">
        <f>'Data entry sheet'!C8</f>
        <v>0</v>
      </c>
      <c r="K6" s="300">
        <f>'Data entry sheet'!C9</f>
        <v>0</v>
      </c>
      <c r="L6" s="300">
        <f>'Data entry sheet'!C14</f>
        <v>0</v>
      </c>
      <c r="M6" s="301">
        <f>'Data entry sheet'!C12</f>
        <v>0</v>
      </c>
      <c r="N6" s="302">
        <f>'Data entry sheet'!C39</f>
        <v>0</v>
      </c>
      <c r="O6" s="300">
        <f>'Data entry sheet'!C23</f>
        <v>0</v>
      </c>
      <c r="P6" s="300">
        <f>'Data entry sheet'!C118</f>
        <v>0</v>
      </c>
      <c r="Q6" s="300"/>
      <c r="R6" s="300">
        <f>'Data entry sheet'!C139</f>
        <v>0</v>
      </c>
      <c r="S6" s="300"/>
      <c r="T6" s="302">
        <f>'Data entry sheet'!C116</f>
        <v>0</v>
      </c>
      <c r="U6" s="300" t="str">
        <f>'Data entry sheet'!C152</f>
        <v>NEFT</v>
      </c>
      <c r="V6" s="305" t="e">
        <f>'Data entry sheet'!C132</f>
        <v>#N/A</v>
      </c>
      <c r="W6" s="300">
        <f>'Data entry sheet'!C129</f>
        <v>0</v>
      </c>
      <c r="X6" s="300"/>
      <c r="Y6" s="300">
        <f>'Data entry sheet'!C130</f>
        <v>0</v>
      </c>
      <c r="Z6" s="300"/>
      <c r="AA6" s="300" t="str">
        <f>'Data entry sheet'!C21</f>
        <v>India</v>
      </c>
      <c r="AB6" s="300">
        <f>'Data entry sheet'!C22</f>
        <v>0</v>
      </c>
      <c r="AC6" s="300">
        <f>'Data entry sheet'!C20</f>
        <v>0</v>
      </c>
      <c r="AD6" s="300">
        <f>'Data entry sheet'!C41</f>
        <v>0</v>
      </c>
      <c r="AE6" s="300">
        <f>'Data entry sheet'!C40</f>
        <v>0</v>
      </c>
      <c r="AF6" s="301">
        <f>'Data entry sheet'!C13</f>
        <v>0</v>
      </c>
      <c r="AG6" s="302">
        <f>'Data entry sheet'!C43</f>
        <v>0</v>
      </c>
      <c r="AH6" s="305">
        <f>'Data entry sheet'!C29</f>
        <v>0</v>
      </c>
      <c r="AI6" s="300">
        <f>'Data entry sheet'!C30</f>
        <v>0</v>
      </c>
      <c r="AJ6" s="300">
        <f>'Data entry sheet'!C31</f>
        <v>0</v>
      </c>
      <c r="AK6" s="300">
        <f>'Data entry sheet'!C35</f>
        <v>0</v>
      </c>
      <c r="AL6" s="300">
        <f>'Data entry sheet'!C33</f>
        <v>0</v>
      </c>
      <c r="AM6" s="300"/>
      <c r="AN6" s="300">
        <f>'Data entry sheet'!C34</f>
        <v>0</v>
      </c>
      <c r="AO6" s="300" t="s">
        <v>638</v>
      </c>
      <c r="AP6" s="300">
        <f>'Data entry sheet'!C24</f>
        <v>0</v>
      </c>
      <c r="AQ6" s="300"/>
      <c r="AR6" s="300"/>
      <c r="AS6" s="300">
        <f>'Data entry sheet'!C27</f>
        <v>0</v>
      </c>
      <c r="AT6" s="300">
        <f>'Data entry sheet'!C25</f>
        <v>0</v>
      </c>
      <c r="AU6" s="300"/>
      <c r="AV6" s="300">
        <f>'Data entry sheet'!C26</f>
        <v>0</v>
      </c>
      <c r="AW6" s="300" t="s">
        <v>638</v>
      </c>
      <c r="AX6" s="300">
        <f>'Data entry sheet'!C36</f>
        <v>0</v>
      </c>
      <c r="AY6" s="300">
        <f>'Data entry sheet'!C37</f>
        <v>0</v>
      </c>
      <c r="AZ6" s="300">
        <f>'Data entry sheet'!C38</f>
        <v>0</v>
      </c>
      <c r="BA6" s="300">
        <f>'Data entry sheet'!C61</f>
        <v>0</v>
      </c>
      <c r="BB6" s="300">
        <f>'Data entry sheet'!C62</f>
        <v>0</v>
      </c>
      <c r="BC6" s="302">
        <f>'Data entry sheet'!C63</f>
        <v>0</v>
      </c>
      <c r="BD6" s="300">
        <f>'Data entry sheet'!C65</f>
        <v>0</v>
      </c>
      <c r="BE6" s="300" t="s">
        <v>202</v>
      </c>
      <c r="BF6" s="300"/>
      <c r="BG6" s="300"/>
      <c r="BH6" s="300">
        <f>'Data entry sheet'!C17</f>
        <v>0</v>
      </c>
      <c r="BI6" s="300"/>
      <c r="BJ6" s="300">
        <f>'Data entry sheet'!C156</f>
        <v>0</v>
      </c>
      <c r="BK6" s="300">
        <f>'Data entry sheet'!C157</f>
        <v>0</v>
      </c>
      <c r="BL6" s="300"/>
      <c r="BM6" s="300"/>
      <c r="BN6" s="300">
        <f>'Data entry sheet'!C15</f>
        <v>0</v>
      </c>
      <c r="BO6" s="300"/>
      <c r="BP6" s="300"/>
      <c r="BQ6" s="300" t="s">
        <v>639</v>
      </c>
      <c r="BR6" s="300">
        <f>'Data entry sheet'!C151</f>
        <v>0</v>
      </c>
      <c r="BS6" s="300"/>
      <c r="BT6" s="300">
        <f>'Data entry sheet'!C5</f>
        <v>0</v>
      </c>
      <c r="BU6" s="300">
        <f>'Data entry sheet'!C155</f>
        <v>0</v>
      </c>
      <c r="BV6" s="300"/>
      <c r="BW6" s="300">
        <f>'Data entry sheet'!C82</f>
        <v>0</v>
      </c>
      <c r="BX6" s="301">
        <f>'Data entry sheet'!C83</f>
        <v>0</v>
      </c>
      <c r="BY6" s="301"/>
      <c r="BZ6" s="300">
        <f>'Data entry sheet'!C85</f>
        <v>0</v>
      </c>
      <c r="CA6" s="301">
        <f>'Data entry sheet'!C86</f>
        <v>0</v>
      </c>
      <c r="CB6" s="301"/>
      <c r="CC6" s="301">
        <f>'Data entry sheet'!C19</f>
        <v>0</v>
      </c>
      <c r="CD6" s="300">
        <f>'Data entry sheet'!C88</f>
        <v>0</v>
      </c>
      <c r="CE6" s="300">
        <f>'Data entry sheet'!C89</f>
        <v>0</v>
      </c>
      <c r="CF6" s="301">
        <f>'Data entry sheet'!C90</f>
        <v>0</v>
      </c>
      <c r="CG6" s="300">
        <f>'Data entry sheet'!C92</f>
        <v>0</v>
      </c>
      <c r="CH6" s="300">
        <f>'Data entry sheet'!C93</f>
        <v>0</v>
      </c>
      <c r="CI6" s="301">
        <f>'Data entry sheet'!C94</f>
        <v>0</v>
      </c>
      <c r="CJ6" s="300">
        <f>'Data entry sheet'!C96</f>
        <v>0</v>
      </c>
      <c r="CK6" s="300">
        <f>'Data entry sheet'!C97</f>
        <v>0</v>
      </c>
      <c r="CL6" s="301">
        <f>'Data entry sheet'!C98</f>
        <v>0</v>
      </c>
      <c r="CM6" s="300">
        <f>'Data entry sheet'!C102</f>
        <v>0</v>
      </c>
      <c r="CN6" s="300"/>
      <c r="CO6" s="300"/>
      <c r="CP6" s="300"/>
      <c r="CQ6" s="300"/>
      <c r="CR6" s="300"/>
      <c r="CS6" s="300"/>
      <c r="CT6" s="300"/>
      <c r="CU6" s="300"/>
      <c r="CV6" s="300"/>
      <c r="CW6" s="300"/>
      <c r="CX6" s="300"/>
      <c r="CY6" s="300"/>
      <c r="CZ6" s="300"/>
      <c r="DA6" s="300"/>
      <c r="DB6" s="300"/>
      <c r="DC6" s="300"/>
      <c r="DD6" s="300"/>
      <c r="DE6" s="300"/>
      <c r="DF6" s="300"/>
      <c r="DG6" s="300"/>
      <c r="DH6" s="302"/>
      <c r="DI6" s="300"/>
      <c r="DJ6" s="300"/>
      <c r="DK6" s="300"/>
      <c r="DL6" s="300"/>
      <c r="DM6" s="300"/>
      <c r="DN6" s="300"/>
      <c r="DO6" s="300"/>
      <c r="DP6" s="300"/>
      <c r="DQ6" s="300"/>
      <c r="DR6" s="300"/>
      <c r="DS6" s="300"/>
      <c r="DT6" s="300"/>
      <c r="DU6" s="300"/>
      <c r="DV6" s="300"/>
    </row>
    <row r="7" spans="1:127" ht="22.5" customHeight="1">
      <c r="A7" s="130"/>
      <c r="B7" s="130"/>
      <c r="C7" s="130"/>
      <c r="D7" s="130">
        <v>0</v>
      </c>
      <c r="E7" s="130"/>
      <c r="F7" s="130"/>
      <c r="G7" s="130"/>
      <c r="H7" s="128" t="str">
        <f t="shared" ref="H7:O7" si="0">IF(H6=0,"",H6)</f>
        <v/>
      </c>
      <c r="I7" s="128" t="str">
        <f t="shared" si="0"/>
        <v/>
      </c>
      <c r="J7" s="128" t="str">
        <f t="shared" si="0"/>
        <v/>
      </c>
      <c r="K7" s="128" t="str">
        <f t="shared" si="0"/>
        <v/>
      </c>
      <c r="L7" s="128" t="str">
        <f t="shared" si="0"/>
        <v/>
      </c>
      <c r="M7" s="303" t="str">
        <f t="shared" si="0"/>
        <v/>
      </c>
      <c r="N7" s="304" t="str">
        <f t="shared" si="0"/>
        <v/>
      </c>
      <c r="O7" s="128" t="str">
        <f t="shared" si="0"/>
        <v/>
      </c>
      <c r="P7" s="128" t="str">
        <f>IF(P6=0,"",P6)</f>
        <v/>
      </c>
      <c r="Q7" s="128" t="str">
        <f t="shared" ref="Q7:CB7" si="1">IF(Q6=0,"",Q6)</f>
        <v/>
      </c>
      <c r="R7" s="128" t="str">
        <f>IF(R11&gt;1,R6,"NA")</f>
        <v>NA</v>
      </c>
      <c r="S7" s="128" t="str">
        <f t="shared" si="1"/>
        <v/>
      </c>
      <c r="T7" s="128" t="str">
        <f t="shared" si="1"/>
        <v/>
      </c>
      <c r="U7" s="128" t="str">
        <f t="shared" si="1"/>
        <v>NEFT</v>
      </c>
      <c r="V7" s="128" t="e">
        <f t="shared" si="1"/>
        <v>#N/A</v>
      </c>
      <c r="W7" s="128" t="str">
        <f t="shared" si="1"/>
        <v/>
      </c>
      <c r="X7" s="128" t="str">
        <f t="shared" si="1"/>
        <v/>
      </c>
      <c r="Y7" s="304" t="str">
        <f t="shared" si="1"/>
        <v/>
      </c>
      <c r="Z7" s="128" t="str">
        <f t="shared" si="1"/>
        <v/>
      </c>
      <c r="AA7" s="128" t="str">
        <f t="shared" si="1"/>
        <v>India</v>
      </c>
      <c r="AB7" s="128" t="str">
        <f t="shared" si="1"/>
        <v/>
      </c>
      <c r="AC7" s="128" t="str">
        <f t="shared" si="1"/>
        <v/>
      </c>
      <c r="AD7" s="128" t="str">
        <f t="shared" si="1"/>
        <v/>
      </c>
      <c r="AE7" s="128" t="str">
        <f t="shared" si="1"/>
        <v/>
      </c>
      <c r="AF7" s="303" t="str">
        <f t="shared" si="1"/>
        <v/>
      </c>
      <c r="AG7" s="128" t="str">
        <f t="shared" si="1"/>
        <v/>
      </c>
      <c r="AH7" s="128" t="str">
        <f t="shared" si="1"/>
        <v/>
      </c>
      <c r="AI7" s="128" t="str">
        <f t="shared" si="1"/>
        <v/>
      </c>
      <c r="AJ7" s="128" t="str">
        <f t="shared" si="1"/>
        <v/>
      </c>
      <c r="AK7" s="128" t="str">
        <f t="shared" si="1"/>
        <v/>
      </c>
      <c r="AL7" s="128" t="str">
        <f t="shared" si="1"/>
        <v/>
      </c>
      <c r="AM7" s="128" t="str">
        <f t="shared" si="1"/>
        <v/>
      </c>
      <c r="AN7" s="128" t="str">
        <f t="shared" si="1"/>
        <v/>
      </c>
      <c r="AO7" s="128" t="str">
        <f t="shared" si="1"/>
        <v>India</v>
      </c>
      <c r="AP7" s="128" t="str">
        <f t="shared" si="1"/>
        <v/>
      </c>
      <c r="AQ7" s="128" t="str">
        <f t="shared" si="1"/>
        <v/>
      </c>
      <c r="AR7" s="128" t="str">
        <f t="shared" si="1"/>
        <v/>
      </c>
      <c r="AS7" s="128" t="str">
        <f t="shared" si="1"/>
        <v/>
      </c>
      <c r="AT7" s="128" t="str">
        <f t="shared" si="1"/>
        <v/>
      </c>
      <c r="AU7" s="128" t="str">
        <f t="shared" si="1"/>
        <v/>
      </c>
      <c r="AV7" s="128" t="str">
        <f t="shared" si="1"/>
        <v/>
      </c>
      <c r="AW7" s="128" t="str">
        <f t="shared" si="1"/>
        <v>India</v>
      </c>
      <c r="AX7" s="128" t="str">
        <f t="shared" si="1"/>
        <v/>
      </c>
      <c r="AY7" s="128" t="str">
        <f t="shared" si="1"/>
        <v/>
      </c>
      <c r="AZ7" s="128" t="str">
        <f t="shared" si="1"/>
        <v/>
      </c>
      <c r="BA7" s="128" t="str">
        <f t="shared" si="1"/>
        <v/>
      </c>
      <c r="BB7" s="128" t="str">
        <f t="shared" si="1"/>
        <v/>
      </c>
      <c r="BC7" s="128" t="str">
        <f t="shared" si="1"/>
        <v/>
      </c>
      <c r="BD7" s="128" t="str">
        <f t="shared" si="1"/>
        <v/>
      </c>
      <c r="BE7" s="128" t="str">
        <f t="shared" si="1"/>
        <v>Yes</v>
      </c>
      <c r="BF7" s="128" t="str">
        <f t="shared" si="1"/>
        <v/>
      </c>
      <c r="BG7" s="128" t="str">
        <f t="shared" si="1"/>
        <v/>
      </c>
      <c r="BH7" s="128" t="str">
        <f t="shared" si="1"/>
        <v/>
      </c>
      <c r="BI7" s="128" t="str">
        <f t="shared" si="1"/>
        <v/>
      </c>
      <c r="BJ7" s="128" t="str">
        <f t="shared" si="1"/>
        <v/>
      </c>
      <c r="BK7" s="128" t="str">
        <f t="shared" si="1"/>
        <v/>
      </c>
      <c r="BL7" s="128" t="str">
        <f t="shared" si="1"/>
        <v/>
      </c>
      <c r="BM7" s="128" t="str">
        <f t="shared" si="1"/>
        <v/>
      </c>
      <c r="BN7" s="128" t="str">
        <f t="shared" si="1"/>
        <v/>
      </c>
      <c r="BO7" s="128" t="str">
        <f t="shared" si="1"/>
        <v/>
      </c>
      <c r="BP7" s="128" t="str">
        <f t="shared" si="1"/>
        <v/>
      </c>
      <c r="BQ7" s="128" t="str">
        <f t="shared" si="1"/>
        <v>Contract Full-time</v>
      </c>
      <c r="BR7" s="128" t="str">
        <f t="shared" si="1"/>
        <v/>
      </c>
      <c r="BS7" s="128" t="str">
        <f t="shared" si="1"/>
        <v/>
      </c>
      <c r="BT7" s="128" t="str">
        <f t="shared" si="1"/>
        <v/>
      </c>
      <c r="BU7" s="128" t="str">
        <f t="shared" si="1"/>
        <v/>
      </c>
      <c r="BV7" s="128" t="str">
        <f t="shared" si="1"/>
        <v/>
      </c>
      <c r="BW7" s="128" t="str">
        <f t="shared" si="1"/>
        <v/>
      </c>
      <c r="BX7" s="303" t="str">
        <f t="shared" si="1"/>
        <v/>
      </c>
      <c r="BY7" s="128" t="str">
        <f t="shared" si="1"/>
        <v/>
      </c>
      <c r="BZ7" s="128" t="str">
        <f t="shared" si="1"/>
        <v/>
      </c>
      <c r="CA7" s="303" t="str">
        <f t="shared" si="1"/>
        <v/>
      </c>
      <c r="CB7" s="128" t="str">
        <f t="shared" si="1"/>
        <v/>
      </c>
      <c r="CC7" s="303" t="str">
        <f t="shared" ref="CC7:CM7" si="2">IF(CC6=0,"",CC6)</f>
        <v/>
      </c>
      <c r="CD7" s="128" t="str">
        <f t="shared" si="2"/>
        <v/>
      </c>
      <c r="CE7" s="128" t="str">
        <f t="shared" si="2"/>
        <v/>
      </c>
      <c r="CF7" s="303" t="str">
        <f t="shared" si="2"/>
        <v/>
      </c>
      <c r="CG7" s="128" t="str">
        <f t="shared" si="2"/>
        <v/>
      </c>
      <c r="CH7" s="128" t="str">
        <f t="shared" si="2"/>
        <v/>
      </c>
      <c r="CI7" s="303" t="str">
        <f t="shared" si="2"/>
        <v/>
      </c>
      <c r="CJ7" s="128" t="str">
        <f t="shared" si="2"/>
        <v/>
      </c>
      <c r="CK7" s="128" t="str">
        <f t="shared" si="2"/>
        <v/>
      </c>
      <c r="CL7" s="303" t="str">
        <f t="shared" si="2"/>
        <v/>
      </c>
      <c r="CM7" s="128" t="str">
        <f t="shared" si="2"/>
        <v/>
      </c>
      <c r="CQ7" s="128"/>
      <c r="DU7" s="128"/>
      <c r="DV7" s="128"/>
    </row>
    <row r="8" spans="1:127">
      <c r="A8" s="130"/>
      <c r="B8" s="130"/>
      <c r="C8" s="130"/>
      <c r="D8" s="130"/>
      <c r="E8" s="130"/>
      <c r="F8" s="130"/>
      <c r="G8" s="130"/>
      <c r="H8" s="130"/>
      <c r="I8" s="130"/>
      <c r="J8" s="130"/>
      <c r="K8" s="130"/>
      <c r="L8" s="130"/>
      <c r="M8" s="283"/>
      <c r="N8" s="285"/>
      <c r="O8" s="130"/>
      <c r="P8" s="130"/>
      <c r="Q8" s="130"/>
      <c r="R8" s="130"/>
      <c r="S8" s="130"/>
      <c r="T8" s="130"/>
      <c r="U8" s="130"/>
      <c r="V8" s="130"/>
      <c r="W8" s="130"/>
      <c r="X8" s="130"/>
      <c r="Y8" s="130"/>
      <c r="Z8" s="130"/>
      <c r="AA8" s="130"/>
      <c r="AB8" s="130"/>
      <c r="AC8" s="130"/>
      <c r="AD8" s="130"/>
      <c r="AE8" s="130"/>
      <c r="AF8" s="283"/>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283"/>
      <c r="BY8" s="130"/>
      <c r="BZ8" s="130"/>
      <c r="CA8" s="283"/>
      <c r="CB8" s="130"/>
      <c r="CC8" s="283"/>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0"/>
      <c r="DI8" s="130"/>
      <c r="DJ8" s="130"/>
      <c r="DK8" s="130"/>
      <c r="DL8" s="130"/>
      <c r="DM8" s="130"/>
      <c r="DN8" s="130"/>
      <c r="DO8" s="130"/>
      <c r="DP8" s="130"/>
      <c r="DQ8" s="130"/>
      <c r="DR8" s="130"/>
      <c r="DS8" s="130"/>
      <c r="DT8" s="130"/>
    </row>
    <row r="9" spans="1:127">
      <c r="A9" s="130"/>
      <c r="B9" s="130"/>
      <c r="C9" s="130"/>
      <c r="D9" s="130"/>
      <c r="E9" s="130"/>
      <c r="F9" s="130"/>
      <c r="G9" s="130"/>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0"/>
      <c r="DI9" s="130"/>
      <c r="DJ9" s="130"/>
      <c r="DK9" s="130"/>
      <c r="DL9" s="130"/>
      <c r="DM9" s="130"/>
      <c r="DN9" s="130"/>
      <c r="DO9" s="130"/>
      <c r="DP9" s="130"/>
      <c r="DQ9" s="130"/>
      <c r="DR9" s="130"/>
      <c r="DS9" s="130"/>
      <c r="DT9" s="130"/>
    </row>
    <row r="10" spans="1:127">
      <c r="A10" s="130"/>
      <c r="B10" s="130"/>
      <c r="C10" s="130"/>
      <c r="D10" s="130"/>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0"/>
      <c r="DI10" s="130"/>
      <c r="DJ10" s="130"/>
      <c r="DK10" s="130"/>
      <c r="DL10" s="130"/>
      <c r="DM10" s="130"/>
      <c r="DN10" s="130"/>
      <c r="DO10" s="130"/>
      <c r="DP10" s="130"/>
      <c r="DQ10" s="130"/>
      <c r="DR10" s="130"/>
      <c r="DS10" s="130"/>
      <c r="DT10" s="130"/>
    </row>
    <row r="11" spans="1:127">
      <c r="A11" s="130"/>
      <c r="B11" s="130"/>
      <c r="C11" s="130"/>
      <c r="D11" s="130"/>
      <c r="E11" s="130"/>
      <c r="F11" s="130"/>
      <c r="G11" s="130"/>
      <c r="H11" s="130"/>
      <c r="I11" s="130"/>
      <c r="J11" s="130"/>
      <c r="K11" s="130"/>
      <c r="L11" s="130"/>
      <c r="M11" s="130"/>
      <c r="N11" s="130"/>
      <c r="O11" s="130"/>
      <c r="P11" s="130"/>
      <c r="Q11" s="130"/>
      <c r="R11" s="312">
        <f>COUNTA(R6)</f>
        <v>1</v>
      </c>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0"/>
      <c r="DI11" s="130"/>
      <c r="DJ11" s="130"/>
      <c r="DK11" s="130"/>
      <c r="DL11" s="130"/>
      <c r="DM11" s="130"/>
      <c r="DN11" s="130"/>
      <c r="DO11" s="130"/>
      <c r="DP11" s="130"/>
      <c r="DQ11" s="130"/>
      <c r="DR11" s="130"/>
      <c r="DS11" s="130"/>
      <c r="DT11" s="130"/>
    </row>
    <row r="12" spans="1:127">
      <c r="A12" s="130"/>
      <c r="B12" s="130"/>
      <c r="C12" s="130"/>
      <c r="D12" s="130"/>
      <c r="E12" s="130"/>
      <c r="F12" s="130"/>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0"/>
      <c r="DI12" s="130"/>
      <c r="DJ12" s="130"/>
      <c r="DK12" s="130"/>
      <c r="DL12" s="130"/>
      <c r="DM12" s="130"/>
      <c r="DN12" s="130"/>
      <c r="DO12" s="130"/>
      <c r="DP12" s="130"/>
      <c r="DQ12" s="130"/>
      <c r="DR12" s="130"/>
      <c r="DS12" s="130"/>
      <c r="DT12" s="130"/>
    </row>
    <row r="13" spans="1:127">
      <c r="A13" s="130"/>
      <c r="B13" s="130"/>
      <c r="C13" s="130"/>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0"/>
      <c r="DI13" s="130"/>
      <c r="DJ13" s="130"/>
      <c r="DK13" s="130"/>
      <c r="DL13" s="130"/>
      <c r="DM13" s="130"/>
      <c r="DN13" s="130"/>
      <c r="DO13" s="130"/>
      <c r="DP13" s="130"/>
      <c r="DQ13" s="130"/>
      <c r="DR13" s="130"/>
      <c r="DS13" s="130"/>
      <c r="DT13" s="130"/>
    </row>
    <row r="14" spans="1:127">
      <c r="A14" s="130"/>
      <c r="B14" s="130"/>
      <c r="C14" s="130"/>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0"/>
      <c r="BU14" s="130"/>
      <c r="BV14" s="130"/>
      <c r="BW14" s="130"/>
      <c r="BX14" s="130"/>
      <c r="BY14" s="130"/>
      <c r="BZ14" s="130"/>
      <c r="CA14" s="130"/>
      <c r="CB14" s="130"/>
      <c r="CC14" s="130"/>
      <c r="CD14" s="130"/>
      <c r="CE14" s="130"/>
      <c r="CF14" s="130"/>
      <c r="CG14" s="130"/>
      <c r="CH14" s="130"/>
      <c r="CI14" s="130"/>
      <c r="CJ14" s="130"/>
      <c r="CK14" s="130"/>
      <c r="CL14" s="130"/>
      <c r="CM14" s="130"/>
      <c r="CN14" s="130"/>
      <c r="CO14" s="130"/>
      <c r="CP14" s="130"/>
      <c r="CQ14" s="130"/>
      <c r="CR14" s="130"/>
      <c r="CS14" s="130"/>
      <c r="CT14" s="130"/>
      <c r="CU14" s="130"/>
      <c r="CV14" s="130"/>
      <c r="CW14" s="130"/>
      <c r="CX14" s="130"/>
      <c r="CY14" s="130"/>
      <c r="CZ14" s="130"/>
      <c r="DA14" s="130"/>
      <c r="DB14" s="130"/>
      <c r="DC14" s="130"/>
      <c r="DD14" s="130"/>
      <c r="DE14" s="130"/>
      <c r="DF14" s="130"/>
      <c r="DG14" s="130"/>
      <c r="DH14" s="130"/>
      <c r="DI14" s="130"/>
      <c r="DJ14" s="130"/>
      <c r="DK14" s="130"/>
      <c r="DL14" s="130"/>
      <c r="DM14" s="130"/>
      <c r="DN14" s="130"/>
      <c r="DO14" s="130"/>
      <c r="DP14" s="130"/>
      <c r="DQ14" s="130"/>
      <c r="DR14" s="130"/>
      <c r="DS14" s="130"/>
      <c r="DT14" s="130"/>
    </row>
    <row r="15" spans="1:127">
      <c r="A15" s="130"/>
      <c r="B15" s="130"/>
      <c r="C15" s="130"/>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0"/>
      <c r="BU15" s="130"/>
      <c r="BV15" s="130"/>
      <c r="BW15" s="130"/>
      <c r="BX15" s="130"/>
      <c r="BY15" s="130"/>
      <c r="BZ15" s="130"/>
      <c r="CA15" s="130"/>
      <c r="CB15" s="130"/>
      <c r="CC15" s="130"/>
      <c r="CD15" s="130"/>
      <c r="CE15" s="130"/>
      <c r="CF15" s="130"/>
      <c r="CG15" s="130"/>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0"/>
      <c r="DI15" s="130"/>
      <c r="DJ15" s="130"/>
      <c r="DK15" s="130"/>
      <c r="DL15" s="130"/>
      <c r="DM15" s="130"/>
      <c r="DN15" s="130"/>
      <c r="DO15" s="130"/>
      <c r="DP15" s="130"/>
      <c r="DQ15" s="130"/>
      <c r="DR15" s="130"/>
      <c r="DS15" s="130"/>
      <c r="DT15" s="130"/>
    </row>
    <row r="16" spans="1:127">
      <c r="A16" s="130"/>
      <c r="B16" s="130"/>
      <c r="C16" s="130"/>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0"/>
      <c r="DI16" s="130"/>
      <c r="DJ16" s="130"/>
      <c r="DK16" s="130"/>
      <c r="DL16" s="130"/>
      <c r="DM16" s="130"/>
      <c r="DN16" s="130"/>
      <c r="DO16" s="130"/>
      <c r="DP16" s="130"/>
      <c r="DQ16" s="130"/>
      <c r="DR16" s="130"/>
      <c r="DS16" s="130"/>
      <c r="DT16" s="130"/>
    </row>
    <row r="17" spans="1:124">
      <c r="A17" s="130"/>
      <c r="B17" s="130"/>
      <c r="C17" s="130"/>
      <c r="D17" s="130"/>
      <c r="E17" s="130"/>
      <c r="F17" s="130"/>
      <c r="G17" s="130"/>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0"/>
      <c r="BU17" s="130"/>
      <c r="BV17" s="130"/>
      <c r="BW17" s="130"/>
      <c r="BX17" s="130"/>
      <c r="BY17" s="130"/>
      <c r="BZ17" s="130"/>
      <c r="CA17" s="130"/>
      <c r="CB17" s="130"/>
      <c r="CC17" s="130"/>
      <c r="CD17" s="130"/>
      <c r="CE17" s="130"/>
      <c r="CF17" s="130"/>
      <c r="CG17" s="130"/>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0"/>
      <c r="DI17" s="130"/>
      <c r="DJ17" s="130"/>
      <c r="DK17" s="130"/>
      <c r="DL17" s="130"/>
      <c r="DM17" s="130"/>
      <c r="DN17" s="130"/>
      <c r="DO17" s="130"/>
      <c r="DP17" s="130"/>
      <c r="DQ17" s="130"/>
      <c r="DR17" s="130"/>
      <c r="DS17" s="130"/>
      <c r="DT17" s="130"/>
    </row>
    <row r="18" spans="1:124">
      <c r="A18" s="130"/>
      <c r="B18" s="130"/>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0"/>
      <c r="BU18" s="130"/>
      <c r="BV18" s="130"/>
      <c r="BW18" s="130"/>
      <c r="BX18" s="130"/>
      <c r="BY18" s="130"/>
      <c r="BZ18" s="130"/>
      <c r="CA18" s="130"/>
      <c r="CB18" s="130"/>
      <c r="CC18" s="130"/>
      <c r="CD18" s="130"/>
      <c r="CE18" s="130"/>
      <c r="CF18" s="130"/>
      <c r="CG18" s="130"/>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0"/>
      <c r="DI18" s="130"/>
      <c r="DJ18" s="130"/>
      <c r="DK18" s="130"/>
      <c r="DL18" s="130"/>
      <c r="DM18" s="130"/>
      <c r="DN18" s="130"/>
      <c r="DO18" s="130"/>
      <c r="DP18" s="130"/>
      <c r="DQ18" s="130"/>
      <c r="DR18" s="130"/>
      <c r="DS18" s="130"/>
      <c r="DT18" s="130"/>
    </row>
    <row r="19" spans="1:124">
      <c r="A19" s="130"/>
      <c r="B19" s="130"/>
      <c r="C19" s="130"/>
      <c r="D19" s="130"/>
      <c r="E19" s="130"/>
      <c r="F19" s="130"/>
      <c r="G19" s="130"/>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0"/>
      <c r="DI19" s="130"/>
      <c r="DJ19" s="130"/>
      <c r="DK19" s="130"/>
      <c r="DL19" s="130"/>
      <c r="DM19" s="130"/>
      <c r="DN19" s="130"/>
      <c r="DO19" s="130"/>
      <c r="DP19" s="130"/>
      <c r="DQ19" s="130"/>
      <c r="DR19" s="130"/>
      <c r="DS19" s="130"/>
      <c r="DT19" s="130"/>
    </row>
    <row r="20" spans="1:124" hidden="1">
      <c r="A20" s="152"/>
      <c r="B20" s="152"/>
      <c r="C20" s="152"/>
      <c r="D20" s="152"/>
      <c r="E20" s="152"/>
      <c r="F20" s="152"/>
      <c r="G20" s="152"/>
      <c r="H20" s="152"/>
      <c r="I20" s="152"/>
      <c r="J20" s="152"/>
      <c r="K20" s="152"/>
      <c r="L20" s="152"/>
      <c r="M20" s="152"/>
      <c r="N20" s="152"/>
      <c r="O20" s="152"/>
      <c r="P20" s="152"/>
      <c r="Q20" s="152"/>
      <c r="R20" s="152"/>
      <c r="S20" s="152"/>
      <c r="T20" s="152"/>
      <c r="U20" s="152"/>
      <c r="V20" s="152"/>
      <c r="W20" s="152"/>
      <c r="X20" s="152"/>
      <c r="Y20" s="152"/>
      <c r="Z20" s="152"/>
      <c r="AA20" s="152"/>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152"/>
      <c r="BU20" s="152"/>
      <c r="BV20" s="152"/>
      <c r="BW20" s="152"/>
      <c r="BX20" s="152"/>
      <c r="BY20" s="152"/>
      <c r="BZ20" s="152"/>
      <c r="CA20" s="152"/>
      <c r="CB20" s="152"/>
      <c r="CC20" s="152"/>
      <c r="CD20" s="152"/>
      <c r="CE20" s="152"/>
      <c r="CF20" s="152"/>
      <c r="CG20" s="152"/>
      <c r="CH20" s="152"/>
      <c r="CI20" s="152"/>
      <c r="CJ20" s="152"/>
      <c r="CK20" s="153"/>
      <c r="CL20" s="152"/>
      <c r="CM20" s="152"/>
      <c r="CN20" s="152"/>
      <c r="CO20" s="152"/>
      <c r="CP20" s="152"/>
      <c r="CQ20" s="153"/>
      <c r="CR20" s="152"/>
      <c r="CS20" s="152"/>
      <c r="CT20" s="152"/>
      <c r="CU20" s="152"/>
      <c r="CV20" s="152"/>
      <c r="CW20" s="152"/>
      <c r="CX20" s="152"/>
      <c r="CY20" s="152"/>
      <c r="CZ20" s="152"/>
      <c r="DA20" s="152"/>
      <c r="DB20" s="152"/>
      <c r="DC20" s="152"/>
      <c r="DD20" s="152"/>
      <c r="DE20" s="152"/>
      <c r="DF20" s="152"/>
      <c r="DG20" s="152"/>
      <c r="DH20" s="152"/>
      <c r="DI20" s="152"/>
      <c r="DJ20" s="152"/>
      <c r="DK20" s="152"/>
      <c r="DL20" s="152"/>
      <c r="DM20" s="152"/>
      <c r="DN20" s="152"/>
      <c r="DO20" s="152"/>
      <c r="DP20" s="152"/>
      <c r="DQ20" s="152"/>
      <c r="DR20" s="152"/>
      <c r="DS20" s="152"/>
      <c r="DT20" s="152"/>
    </row>
  </sheetData>
  <mergeCells count="15">
    <mergeCell ref="DB1:DF1"/>
    <mergeCell ref="DK1:DT1"/>
    <mergeCell ref="BM1:BQ1"/>
    <mergeCell ref="BR1:CG1"/>
    <mergeCell ref="CH1:CS1"/>
    <mergeCell ref="W1:Z1"/>
    <mergeCell ref="S1:V1"/>
    <mergeCell ref="AA1:AF1"/>
    <mergeCell ref="AL1:AO1"/>
    <mergeCell ref="AP1:AS1"/>
    <mergeCell ref="AT1:AW1"/>
    <mergeCell ref="AX1:BB1"/>
    <mergeCell ref="BC1:BG1"/>
    <mergeCell ref="BH1:BL1"/>
    <mergeCell ref="AH1:AK1"/>
  </mergeCells>
  <dataValidations count="1">
    <dataValidation type="whole" operator="lessThan" allowBlank="1" showInputMessage="1" showErrorMessage="1" sqref="A1:XFD1048576" xr:uid="{00000000-0002-0000-0000-000000000000}">
      <formula1>0</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filterMode="1"/>
  <dimension ref="A1:AD157"/>
  <sheetViews>
    <sheetView showGridLines="0" showZeros="0" tabSelected="1" zoomScale="115" zoomScaleNormal="115" workbookViewId="0">
      <selection activeCell="C159" sqref="C159"/>
    </sheetView>
  </sheetViews>
  <sheetFormatPr defaultColWidth="9.08984375" defaultRowHeight="13"/>
  <cols>
    <col min="1" max="1" width="5" style="176" customWidth="1"/>
    <col min="2" max="2" width="22" style="174" customWidth="1"/>
    <col min="3" max="3" width="35.90625" style="175" bestFit="1" customWidth="1"/>
    <col min="4" max="4" width="6.08984375" style="174" customWidth="1"/>
    <col min="5" max="5" width="23.54296875" style="175" customWidth="1"/>
    <col min="6" max="6" width="12.6328125" style="310" customWidth="1"/>
    <col min="7" max="22" width="9.08984375" style="310" customWidth="1"/>
    <col min="23" max="28" width="9.08984375" style="310"/>
    <col min="29" max="31" width="9.08984375" style="310" customWidth="1"/>
    <col min="32" max="16384" width="9.08984375" style="310"/>
  </cols>
  <sheetData>
    <row r="1" spans="1:27">
      <c r="A1" s="183"/>
      <c r="B1" s="184" t="s">
        <v>440</v>
      </c>
      <c r="C1" s="179" t="s">
        <v>441</v>
      </c>
      <c r="D1" s="179" t="s">
        <v>440</v>
      </c>
      <c r="E1" s="179" t="s">
        <v>499</v>
      </c>
    </row>
    <row r="2" spans="1:27">
      <c r="B2" s="340" t="s">
        <v>506</v>
      </c>
      <c r="C2" s="340"/>
      <c r="D2" s="340"/>
      <c r="E2" s="340"/>
    </row>
    <row r="3" spans="1:27" ht="14.5">
      <c r="B3" s="185" t="s">
        <v>521</v>
      </c>
      <c r="C3" s="273"/>
      <c r="D3" s="339" t="s">
        <v>439</v>
      </c>
      <c r="E3" s="180" t="s">
        <v>636</v>
      </c>
      <c r="H3" s="310" t="s">
        <v>395</v>
      </c>
      <c r="J3" s="319" t="s">
        <v>636</v>
      </c>
      <c r="K3" s="310" t="s">
        <v>500</v>
      </c>
      <c r="L3" s="310" t="s">
        <v>504</v>
      </c>
      <c r="M3" s="319" t="s">
        <v>679</v>
      </c>
      <c r="N3" s="319" t="s">
        <v>685</v>
      </c>
      <c r="P3" s="319" t="s">
        <v>704</v>
      </c>
      <c r="T3" s="319" t="s">
        <v>752</v>
      </c>
    </row>
    <row r="4" spans="1:27" ht="14.5" hidden="1">
      <c r="A4" s="176" t="s">
        <v>633</v>
      </c>
      <c r="B4" s="185" t="s">
        <v>91</v>
      </c>
      <c r="C4" s="180"/>
      <c r="D4" s="339"/>
      <c r="E4" s="180" t="s">
        <v>417</v>
      </c>
      <c r="H4" s="310" t="s">
        <v>396</v>
      </c>
      <c r="J4" s="319" t="s">
        <v>677</v>
      </c>
      <c r="K4" s="310" t="s">
        <v>501</v>
      </c>
      <c r="L4" s="310" t="s">
        <v>503</v>
      </c>
      <c r="M4" s="319" t="s">
        <v>399</v>
      </c>
      <c r="N4" s="319" t="s">
        <v>686</v>
      </c>
      <c r="P4" s="319" t="s">
        <v>705</v>
      </c>
      <c r="T4" s="319" t="s">
        <v>753</v>
      </c>
    </row>
    <row r="5" spans="1:27" ht="14.5" hidden="1">
      <c r="A5" s="176" t="s">
        <v>633</v>
      </c>
      <c r="B5" s="185" t="s">
        <v>120</v>
      </c>
      <c r="C5" s="180"/>
      <c r="D5" s="339"/>
      <c r="E5" s="180" t="s">
        <v>418</v>
      </c>
      <c r="H5" s="310" t="s">
        <v>431</v>
      </c>
      <c r="J5" s="319" t="s">
        <v>678</v>
      </c>
      <c r="M5" s="319" t="s">
        <v>680</v>
      </c>
      <c r="N5" s="319" t="s">
        <v>687</v>
      </c>
      <c r="P5" s="319" t="s">
        <v>706</v>
      </c>
      <c r="T5" s="319" t="s">
        <v>754</v>
      </c>
    </row>
    <row r="6" spans="1:27" ht="14.5" hidden="1">
      <c r="A6" s="176" t="s">
        <v>634</v>
      </c>
      <c r="B6" s="185" t="s">
        <v>263</v>
      </c>
      <c r="C6" s="180"/>
      <c r="D6" s="339"/>
      <c r="E6" s="195"/>
      <c r="H6" s="310" t="s">
        <v>644</v>
      </c>
      <c r="M6" s="319" t="s">
        <v>681</v>
      </c>
      <c r="N6" s="319" t="s">
        <v>688</v>
      </c>
      <c r="P6" s="319" t="s">
        <v>707</v>
      </c>
      <c r="T6" s="319" t="s">
        <v>755</v>
      </c>
    </row>
    <row r="7" spans="1:27" ht="15" customHeight="1">
      <c r="B7" s="185" t="s">
        <v>668</v>
      </c>
      <c r="C7" s="180"/>
      <c r="D7" s="339"/>
      <c r="E7" s="180" t="s">
        <v>662</v>
      </c>
      <c r="F7" s="310" t="s">
        <v>635</v>
      </c>
      <c r="H7" s="310" t="s">
        <v>853</v>
      </c>
      <c r="M7" s="319" t="s">
        <v>682</v>
      </c>
      <c r="N7" s="319" t="s">
        <v>689</v>
      </c>
      <c r="P7" s="319" t="s">
        <v>708</v>
      </c>
      <c r="T7" s="319" t="s">
        <v>756</v>
      </c>
      <c r="Z7" s="342" t="s">
        <v>835</v>
      </c>
      <c r="AA7" s="342"/>
    </row>
    <row r="8" spans="1:27" ht="15" customHeight="1">
      <c r="B8" s="185" t="s">
        <v>523</v>
      </c>
      <c r="C8" s="180"/>
      <c r="D8" s="339"/>
      <c r="E8" s="180"/>
      <c r="F8" s="310" t="s">
        <v>635</v>
      </c>
      <c r="H8" s="310" t="s">
        <v>645</v>
      </c>
      <c r="M8" s="319" t="s">
        <v>683</v>
      </c>
      <c r="N8" s="319" t="s">
        <v>690</v>
      </c>
      <c r="P8" s="319" t="s">
        <v>709</v>
      </c>
      <c r="T8" s="319" t="s">
        <v>757</v>
      </c>
      <c r="Z8" s="342"/>
      <c r="AA8" s="342"/>
    </row>
    <row r="9" spans="1:27" ht="14.5">
      <c r="B9" s="185" t="s">
        <v>648</v>
      </c>
      <c r="C9" s="180"/>
      <c r="D9" s="339"/>
      <c r="E9" s="180" t="s">
        <v>663</v>
      </c>
      <c r="F9" s="310" t="s">
        <v>635</v>
      </c>
      <c r="H9" s="310" t="s">
        <v>646</v>
      </c>
      <c r="M9" s="319" t="s">
        <v>684</v>
      </c>
      <c r="N9" s="319" t="s">
        <v>691</v>
      </c>
      <c r="P9" s="319" t="s">
        <v>710</v>
      </c>
      <c r="T9" s="319" t="s">
        <v>758</v>
      </c>
      <c r="Z9" s="316"/>
      <c r="AA9" s="316"/>
    </row>
    <row r="10" spans="1:27" ht="14.5" hidden="1">
      <c r="A10" s="176" t="s">
        <v>634</v>
      </c>
      <c r="B10" s="193" t="s">
        <v>92</v>
      </c>
      <c r="C10" s="193" t="str">
        <f>CONCATENATE(C7," ",C8," ",C9)</f>
        <v xml:space="preserve">  </v>
      </c>
      <c r="D10" s="339"/>
      <c r="E10" s="194" t="s">
        <v>637</v>
      </c>
      <c r="F10" s="310" t="s">
        <v>635</v>
      </c>
      <c r="I10" s="310" t="s">
        <v>500</v>
      </c>
      <c r="J10" s="310" t="s">
        <v>503</v>
      </c>
      <c r="N10" s="319" t="s">
        <v>692</v>
      </c>
      <c r="P10" s="319" t="s">
        <v>711</v>
      </c>
      <c r="T10" s="319" t="s">
        <v>759</v>
      </c>
    </row>
    <row r="11" spans="1:27" ht="14.5">
      <c r="B11" s="185" t="s">
        <v>108</v>
      </c>
      <c r="C11" s="180"/>
      <c r="D11" s="339"/>
      <c r="E11" s="180" t="s">
        <v>664</v>
      </c>
      <c r="F11" s="310" t="s">
        <v>635</v>
      </c>
      <c r="I11" s="310" t="s">
        <v>501</v>
      </c>
      <c r="J11" s="310" t="s">
        <v>504</v>
      </c>
      <c r="N11" s="319" t="s">
        <v>693</v>
      </c>
      <c r="P11" s="319" t="s">
        <v>712</v>
      </c>
      <c r="T11" s="319" t="s">
        <v>760</v>
      </c>
      <c r="Z11" s="316"/>
      <c r="AA11" s="316"/>
    </row>
    <row r="12" spans="1:27" ht="14.5">
      <c r="B12" s="185" t="s">
        <v>649</v>
      </c>
      <c r="C12" s="270"/>
      <c r="D12" s="339"/>
      <c r="E12" s="270">
        <v>43455</v>
      </c>
      <c r="F12" s="310" t="s">
        <v>635</v>
      </c>
      <c r="I12" s="310" t="s">
        <v>502</v>
      </c>
      <c r="J12" s="310" t="s">
        <v>502</v>
      </c>
      <c r="N12" s="319" t="s">
        <v>694</v>
      </c>
      <c r="P12" s="319" t="s">
        <v>713</v>
      </c>
      <c r="T12" s="319" t="s">
        <v>761</v>
      </c>
    </row>
    <row r="13" spans="1:27" ht="14.5" hidden="1">
      <c r="A13" s="176" t="s">
        <v>633</v>
      </c>
      <c r="B13" s="185" t="s">
        <v>95</v>
      </c>
      <c r="C13" s="280"/>
      <c r="D13" s="339"/>
      <c r="E13" s="270">
        <v>43455</v>
      </c>
      <c r="N13" s="319" t="s">
        <v>695</v>
      </c>
      <c r="P13" s="319" t="s">
        <v>714</v>
      </c>
      <c r="T13" s="319" t="s">
        <v>762</v>
      </c>
    </row>
    <row r="14" spans="1:27" ht="14.5">
      <c r="B14" s="185" t="s">
        <v>96</v>
      </c>
      <c r="C14" s="313"/>
      <c r="D14" s="339"/>
      <c r="E14" s="180" t="s">
        <v>397</v>
      </c>
      <c r="N14" s="319" t="s">
        <v>696</v>
      </c>
      <c r="P14" s="319" t="s">
        <v>715</v>
      </c>
      <c r="T14" s="319" t="s">
        <v>763</v>
      </c>
    </row>
    <row r="15" spans="1:27" ht="14.5" hidden="1">
      <c r="A15" s="176" t="s">
        <v>633</v>
      </c>
      <c r="B15" s="185" t="s">
        <v>97</v>
      </c>
      <c r="C15" s="180"/>
      <c r="D15" s="339" t="s">
        <v>439</v>
      </c>
      <c r="E15" s="180" t="s">
        <v>419</v>
      </c>
      <c r="N15" s="319" t="s">
        <v>697</v>
      </c>
      <c r="P15" s="319" t="s">
        <v>716</v>
      </c>
      <c r="T15" s="319" t="s">
        <v>764</v>
      </c>
    </row>
    <row r="16" spans="1:27" ht="14.5">
      <c r="B16" s="185" t="s">
        <v>5</v>
      </c>
      <c r="C16" s="273"/>
      <c r="D16" s="339"/>
      <c r="E16" s="180" t="s">
        <v>398</v>
      </c>
      <c r="N16" s="319" t="s">
        <v>698</v>
      </c>
      <c r="P16" s="319" t="s">
        <v>717</v>
      </c>
      <c r="T16" s="319" t="s">
        <v>765</v>
      </c>
    </row>
    <row r="17" spans="1:23" ht="14.5" hidden="1">
      <c r="A17" s="176" t="s">
        <v>633</v>
      </c>
      <c r="B17" s="185" t="s">
        <v>98</v>
      </c>
      <c r="C17" s="180"/>
      <c r="D17" s="339"/>
      <c r="E17" s="180" t="s">
        <v>420</v>
      </c>
      <c r="J17" s="319" t="s">
        <v>638</v>
      </c>
      <c r="N17" s="319" t="s">
        <v>699</v>
      </c>
      <c r="P17" s="319" t="s">
        <v>718</v>
      </c>
      <c r="T17" s="319" t="s">
        <v>766</v>
      </c>
    </row>
    <row r="18" spans="1:23" ht="14.5">
      <c r="B18" s="185" t="s">
        <v>1</v>
      </c>
      <c r="C18" s="180"/>
      <c r="D18" s="339"/>
      <c r="E18" s="180" t="s">
        <v>665</v>
      </c>
      <c r="J18" s="319" t="s">
        <v>816</v>
      </c>
      <c r="N18" s="319" t="s">
        <v>700</v>
      </c>
      <c r="P18" s="319" t="s">
        <v>719</v>
      </c>
      <c r="T18" s="319" t="s">
        <v>767</v>
      </c>
    </row>
    <row r="19" spans="1:23" ht="14.5">
      <c r="B19" s="185" t="s">
        <v>650</v>
      </c>
      <c r="C19" s="270"/>
      <c r="D19" s="339"/>
      <c r="E19" s="270">
        <v>43455</v>
      </c>
      <c r="J19" s="319" t="s">
        <v>817</v>
      </c>
      <c r="N19" s="319" t="s">
        <v>701</v>
      </c>
      <c r="P19" s="319" t="s">
        <v>720</v>
      </c>
      <c r="T19" s="319" t="s">
        <v>768</v>
      </c>
    </row>
    <row r="20" spans="1:23" ht="14.5">
      <c r="B20" s="185" t="s">
        <v>268</v>
      </c>
      <c r="C20" s="273"/>
      <c r="D20" s="339"/>
      <c r="E20" s="180" t="s">
        <v>399</v>
      </c>
      <c r="J20" s="319" t="s">
        <v>818</v>
      </c>
      <c r="N20" s="319" t="s">
        <v>702</v>
      </c>
      <c r="P20" s="319" t="s">
        <v>721</v>
      </c>
      <c r="T20" s="319" t="s">
        <v>769</v>
      </c>
      <c r="W20" s="317"/>
    </row>
    <row r="21" spans="1:23" ht="14.5" hidden="1">
      <c r="A21" s="176" t="s">
        <v>855</v>
      </c>
      <c r="B21" s="185" t="s">
        <v>99</v>
      </c>
      <c r="C21" s="273" t="s">
        <v>638</v>
      </c>
      <c r="D21" s="339"/>
      <c r="E21" s="180" t="s">
        <v>400</v>
      </c>
      <c r="J21" s="319" t="s">
        <v>819</v>
      </c>
      <c r="P21" s="319" t="s">
        <v>722</v>
      </c>
      <c r="T21" s="319" t="s">
        <v>770</v>
      </c>
    </row>
    <row r="22" spans="1:23" ht="14.5">
      <c r="B22" s="185" t="s">
        <v>100</v>
      </c>
      <c r="C22" s="273"/>
      <c r="D22" s="339"/>
      <c r="E22" s="180" t="s">
        <v>666</v>
      </c>
      <c r="J22" s="319" t="s">
        <v>820</v>
      </c>
      <c r="P22" s="319" t="s">
        <v>723</v>
      </c>
      <c r="T22" s="319" t="s">
        <v>771</v>
      </c>
    </row>
    <row r="23" spans="1:23" ht="14.5">
      <c r="B23" s="185" t="s">
        <v>27</v>
      </c>
      <c r="C23" s="180"/>
      <c r="D23" s="339"/>
      <c r="E23" s="180"/>
      <c r="J23" s="319" t="s">
        <v>821</v>
      </c>
      <c r="P23" s="319" t="s">
        <v>724</v>
      </c>
      <c r="T23" s="319" t="s">
        <v>772</v>
      </c>
    </row>
    <row r="24" spans="1:23" ht="14.5">
      <c r="B24" s="186" t="s">
        <v>101</v>
      </c>
      <c r="C24" s="181"/>
      <c r="D24" s="339" t="s">
        <v>439</v>
      </c>
      <c r="E24" s="181"/>
      <c r="J24" s="319" t="s">
        <v>822</v>
      </c>
      <c r="P24" s="319" t="s">
        <v>725</v>
      </c>
      <c r="T24" s="319" t="s">
        <v>773</v>
      </c>
    </row>
    <row r="25" spans="1:23" ht="14.5">
      <c r="B25" s="186" t="s">
        <v>442</v>
      </c>
      <c r="C25" s="181"/>
      <c r="D25" s="339"/>
      <c r="E25" s="181"/>
      <c r="J25" s="319" t="s">
        <v>823</v>
      </c>
      <c r="P25" s="319" t="s">
        <v>726</v>
      </c>
      <c r="T25" s="319" t="s">
        <v>774</v>
      </c>
    </row>
    <row r="26" spans="1:23" ht="14.5">
      <c r="B26" s="186" t="s">
        <v>443</v>
      </c>
      <c r="C26" s="274"/>
      <c r="D26" s="339"/>
      <c r="E26" s="181" t="s">
        <v>402</v>
      </c>
      <c r="P26" s="319" t="s">
        <v>727</v>
      </c>
      <c r="T26" s="319" t="s">
        <v>775</v>
      </c>
    </row>
    <row r="27" spans="1:23" ht="14.5">
      <c r="B27" s="186" t="s">
        <v>444</v>
      </c>
      <c r="C27" s="181"/>
      <c r="D27" s="339"/>
      <c r="E27" s="181">
        <v>581402</v>
      </c>
      <c r="P27" s="319" t="s">
        <v>728</v>
      </c>
      <c r="T27" s="319" t="s">
        <v>776</v>
      </c>
    </row>
    <row r="28" spans="1:23" ht="26.25" hidden="1" customHeight="1">
      <c r="A28" s="176" t="s">
        <v>838</v>
      </c>
      <c r="B28" s="196" t="s">
        <v>703</v>
      </c>
      <c r="C28" s="196" t="str">
        <f>CONCATENATE(C24,", ",C25,", ",C26,", ",C27)</f>
        <v xml:space="preserve">, , , </v>
      </c>
      <c r="D28" s="339"/>
      <c r="E28" s="181" t="s">
        <v>667</v>
      </c>
      <c r="F28" s="310" t="s">
        <v>635</v>
      </c>
      <c r="P28" s="319" t="s">
        <v>729</v>
      </c>
      <c r="T28" s="319" t="s">
        <v>777</v>
      </c>
    </row>
    <row r="29" spans="1:23" ht="26.25" customHeight="1">
      <c r="B29" s="185" t="s">
        <v>852</v>
      </c>
      <c r="C29" s="186"/>
      <c r="D29" s="339"/>
      <c r="E29" s="181"/>
      <c r="P29" s="319"/>
      <c r="T29" s="319"/>
    </row>
    <row r="30" spans="1:23" ht="14.5">
      <c r="B30" s="185" t="s">
        <v>544</v>
      </c>
      <c r="C30" s="181"/>
      <c r="D30" s="339"/>
      <c r="E30" s="181"/>
      <c r="F30" s="310" t="s">
        <v>635</v>
      </c>
      <c r="P30" s="319" t="s">
        <v>730</v>
      </c>
      <c r="T30" s="319" t="s">
        <v>778</v>
      </c>
    </row>
    <row r="31" spans="1:23" ht="26">
      <c r="B31" s="185" t="s">
        <v>545</v>
      </c>
      <c r="C31" s="181"/>
      <c r="D31" s="339"/>
      <c r="E31" s="181"/>
      <c r="F31" s="310" t="s">
        <v>635</v>
      </c>
      <c r="P31" s="319" t="s">
        <v>731</v>
      </c>
      <c r="T31" s="319" t="s">
        <v>779</v>
      </c>
    </row>
    <row r="32" spans="1:23" ht="39" hidden="1">
      <c r="A32" s="176" t="s">
        <v>838</v>
      </c>
      <c r="B32" s="196" t="s">
        <v>304</v>
      </c>
      <c r="C32" s="196" t="str">
        <f>CONCATENATE(C30,", ",C31,", ",C33,", ",C34,", ",C35)</f>
        <v xml:space="preserve">, , , , </v>
      </c>
      <c r="D32" s="339"/>
      <c r="E32" s="197" t="s">
        <v>496</v>
      </c>
      <c r="H32" s="310" t="s">
        <v>660</v>
      </c>
      <c r="I32" s="310" t="s">
        <v>661</v>
      </c>
      <c r="P32" s="319" t="s">
        <v>732</v>
      </c>
      <c r="T32" s="319" t="s">
        <v>780</v>
      </c>
    </row>
    <row r="33" spans="1:20" ht="14.5">
      <c r="B33" s="186" t="s">
        <v>445</v>
      </c>
      <c r="C33" s="181"/>
      <c r="D33" s="339"/>
      <c r="E33" s="181" t="s">
        <v>394</v>
      </c>
      <c r="F33" s="310" t="s">
        <v>635</v>
      </c>
      <c r="P33" s="319" t="s">
        <v>733</v>
      </c>
      <c r="T33" s="319" t="s">
        <v>781</v>
      </c>
    </row>
    <row r="34" spans="1:20" ht="14.5">
      <c r="B34" s="186" t="s">
        <v>446</v>
      </c>
      <c r="C34" s="274"/>
      <c r="D34" s="339"/>
      <c r="E34" s="181" t="s">
        <v>401</v>
      </c>
      <c r="F34" s="310" t="s">
        <v>635</v>
      </c>
      <c r="P34" s="319" t="s">
        <v>734</v>
      </c>
      <c r="T34" s="319" t="s">
        <v>782</v>
      </c>
    </row>
    <row r="35" spans="1:20" ht="14.5">
      <c r="B35" s="186" t="s">
        <v>447</v>
      </c>
      <c r="C35" s="181"/>
      <c r="D35" s="339"/>
      <c r="E35" s="181">
        <v>560000</v>
      </c>
      <c r="F35" s="310" t="s">
        <v>635</v>
      </c>
      <c r="P35" s="319" t="s">
        <v>735</v>
      </c>
      <c r="T35" s="319" t="s">
        <v>427</v>
      </c>
    </row>
    <row r="36" spans="1:20" ht="14.5">
      <c r="B36" s="186" t="s">
        <v>122</v>
      </c>
      <c r="C36" s="181"/>
      <c r="D36" s="339"/>
      <c r="E36" s="181">
        <v>1234544246</v>
      </c>
      <c r="P36" s="319" t="s">
        <v>736</v>
      </c>
      <c r="T36" s="319" t="s">
        <v>783</v>
      </c>
    </row>
    <row r="37" spans="1:20" ht="14.5">
      <c r="B37" s="186" t="s">
        <v>102</v>
      </c>
      <c r="C37" s="181"/>
      <c r="D37" s="339" t="s">
        <v>439</v>
      </c>
      <c r="E37" s="181">
        <v>1234544246</v>
      </c>
      <c r="P37" s="319" t="s">
        <v>737</v>
      </c>
      <c r="T37" s="319" t="s">
        <v>784</v>
      </c>
    </row>
    <row r="38" spans="1:20" ht="14.5">
      <c r="B38" s="186" t="s">
        <v>669</v>
      </c>
      <c r="C38" s="276"/>
      <c r="D38" s="339"/>
      <c r="E38" s="276" t="s">
        <v>670</v>
      </c>
      <c r="P38" s="319" t="s">
        <v>738</v>
      </c>
      <c r="T38" s="319" t="s">
        <v>785</v>
      </c>
    </row>
    <row r="39" spans="1:20" ht="14.5">
      <c r="B39" s="186" t="s">
        <v>104</v>
      </c>
      <c r="C39" s="277"/>
      <c r="D39" s="339"/>
      <c r="E39" s="182" t="s">
        <v>489</v>
      </c>
      <c r="P39" s="319" t="s">
        <v>739</v>
      </c>
      <c r="T39" s="319" t="s">
        <v>786</v>
      </c>
    </row>
    <row r="40" spans="1:20" ht="14.5">
      <c r="B40" s="186" t="s">
        <v>105</v>
      </c>
      <c r="C40" s="181"/>
      <c r="D40" s="339"/>
      <c r="E40" s="181"/>
      <c r="P40" s="319" t="s">
        <v>740</v>
      </c>
      <c r="T40" s="319" t="s">
        <v>787</v>
      </c>
    </row>
    <row r="41" spans="1:20" ht="14.5">
      <c r="B41" s="186" t="s">
        <v>106</v>
      </c>
      <c r="C41" s="181"/>
      <c r="D41" s="339"/>
      <c r="E41" s="181" t="s">
        <v>492</v>
      </c>
      <c r="P41" s="319" t="s">
        <v>741</v>
      </c>
      <c r="T41" s="319" t="s">
        <v>788</v>
      </c>
    </row>
    <row r="42" spans="1:20" ht="14.5">
      <c r="B42" s="340" t="s">
        <v>674</v>
      </c>
      <c r="C42" s="340"/>
      <c r="D42" s="340"/>
      <c r="E42" s="340"/>
      <c r="P42" s="319" t="s">
        <v>742</v>
      </c>
      <c r="T42" s="319" t="s">
        <v>789</v>
      </c>
    </row>
    <row r="43" spans="1:20" ht="26">
      <c r="B43" s="186" t="s">
        <v>857</v>
      </c>
      <c r="C43" s="181"/>
      <c r="D43" s="339" t="s">
        <v>439</v>
      </c>
      <c r="E43" s="181">
        <v>2</v>
      </c>
      <c r="P43" s="319" t="s">
        <v>743</v>
      </c>
      <c r="T43" s="319" t="s">
        <v>790</v>
      </c>
    </row>
    <row r="44" spans="1:20" ht="26">
      <c r="B44" s="186" t="s">
        <v>448</v>
      </c>
      <c r="C44" s="181"/>
      <c r="D44" s="339"/>
      <c r="E44" s="181" t="s">
        <v>403</v>
      </c>
      <c r="P44" s="319" t="s">
        <v>744</v>
      </c>
      <c r="T44" s="319" t="s">
        <v>791</v>
      </c>
    </row>
    <row r="45" spans="1:20" ht="26">
      <c r="B45" s="186" t="s">
        <v>856</v>
      </c>
      <c r="C45" s="181"/>
      <c r="D45" s="339"/>
      <c r="E45" s="181">
        <v>18</v>
      </c>
      <c r="P45" s="319" t="s">
        <v>745</v>
      </c>
      <c r="T45" s="319" t="s">
        <v>792</v>
      </c>
    </row>
    <row r="46" spans="1:20" ht="26">
      <c r="B46" s="186" t="s">
        <v>450</v>
      </c>
      <c r="C46" s="181"/>
      <c r="D46" s="339"/>
      <c r="E46" s="181" t="s">
        <v>404</v>
      </c>
      <c r="P46" s="319" t="s">
        <v>746</v>
      </c>
      <c r="T46" s="319" t="s">
        <v>793</v>
      </c>
    </row>
    <row r="47" spans="1:20" ht="14.5">
      <c r="B47" s="186" t="s">
        <v>451</v>
      </c>
      <c r="C47" s="181"/>
      <c r="D47" s="339"/>
      <c r="E47" s="181" t="s">
        <v>394</v>
      </c>
      <c r="P47" s="319" t="s">
        <v>747</v>
      </c>
      <c r="T47" s="319" t="s">
        <v>794</v>
      </c>
    </row>
    <row r="48" spans="1:20" ht="26" hidden="1">
      <c r="A48" s="176" t="s">
        <v>634</v>
      </c>
      <c r="B48" s="186" t="s">
        <v>452</v>
      </c>
      <c r="C48" s="181"/>
      <c r="D48" s="339"/>
      <c r="E48" s="181" t="s">
        <v>422</v>
      </c>
      <c r="P48" s="319" t="s">
        <v>748</v>
      </c>
      <c r="T48" s="319" t="s">
        <v>795</v>
      </c>
    </row>
    <row r="49" spans="1:20" ht="26" hidden="1">
      <c r="A49" s="176" t="s">
        <v>634</v>
      </c>
      <c r="B49" s="186" t="s">
        <v>453</v>
      </c>
      <c r="C49" s="181"/>
      <c r="D49" s="339"/>
      <c r="E49" s="181">
        <v>12</v>
      </c>
      <c r="P49" s="319" t="s">
        <v>749</v>
      </c>
      <c r="T49" s="319" t="s">
        <v>796</v>
      </c>
    </row>
    <row r="50" spans="1:20" ht="26" hidden="1">
      <c r="A50" s="176" t="s">
        <v>634</v>
      </c>
      <c r="B50" s="186" t="s">
        <v>454</v>
      </c>
      <c r="C50" s="181"/>
      <c r="D50" s="339"/>
      <c r="E50" s="181" t="s">
        <v>425</v>
      </c>
      <c r="P50" s="319" t="s">
        <v>750</v>
      </c>
      <c r="T50" s="319" t="s">
        <v>797</v>
      </c>
    </row>
    <row r="51" spans="1:20" ht="26" hidden="1">
      <c r="A51" s="176" t="s">
        <v>634</v>
      </c>
      <c r="B51" s="186" t="s">
        <v>455</v>
      </c>
      <c r="C51" s="181"/>
      <c r="D51" s="339"/>
      <c r="E51" s="181" t="s">
        <v>423</v>
      </c>
      <c r="P51" s="319" t="s">
        <v>751</v>
      </c>
      <c r="T51" s="319" t="s">
        <v>798</v>
      </c>
    </row>
    <row r="52" spans="1:20" ht="26" hidden="1">
      <c r="A52" s="176" t="s">
        <v>634</v>
      </c>
      <c r="B52" s="186" t="s">
        <v>456</v>
      </c>
      <c r="C52" s="181"/>
      <c r="D52" s="339" t="s">
        <v>439</v>
      </c>
      <c r="E52" s="181" t="s">
        <v>424</v>
      </c>
      <c r="T52" s="319" t="s">
        <v>799</v>
      </c>
    </row>
    <row r="53" spans="1:20" ht="26" hidden="1">
      <c r="A53" s="176" t="s">
        <v>634</v>
      </c>
      <c r="B53" s="186" t="s">
        <v>457</v>
      </c>
      <c r="C53" s="181"/>
      <c r="D53" s="339"/>
      <c r="E53" s="181">
        <v>12</v>
      </c>
      <c r="T53" s="319" t="s">
        <v>800</v>
      </c>
    </row>
    <row r="54" spans="1:20" ht="26" hidden="1">
      <c r="A54" s="176" t="s">
        <v>634</v>
      </c>
      <c r="B54" s="186" t="s">
        <v>458</v>
      </c>
      <c r="C54" s="181"/>
      <c r="D54" s="339"/>
      <c r="E54" s="181" t="s">
        <v>425</v>
      </c>
      <c r="T54" s="319" t="s">
        <v>801</v>
      </c>
    </row>
    <row r="55" spans="1:20" ht="26" hidden="1">
      <c r="A55" s="176" t="s">
        <v>634</v>
      </c>
      <c r="B55" s="186" t="s">
        <v>459</v>
      </c>
      <c r="C55" s="181"/>
      <c r="D55" s="339"/>
      <c r="E55" s="181" t="s">
        <v>423</v>
      </c>
      <c r="T55" s="319" t="s">
        <v>802</v>
      </c>
    </row>
    <row r="56" spans="1:20" ht="26" hidden="1">
      <c r="A56" s="176" t="s">
        <v>634</v>
      </c>
      <c r="B56" s="186" t="s">
        <v>460</v>
      </c>
      <c r="C56" s="181"/>
      <c r="D56" s="339"/>
      <c r="E56" s="181"/>
      <c r="T56" s="319" t="s">
        <v>803</v>
      </c>
    </row>
    <row r="57" spans="1:20" ht="26" hidden="1">
      <c r="A57" s="176" t="s">
        <v>634</v>
      </c>
      <c r="B57" s="186" t="s">
        <v>461</v>
      </c>
      <c r="C57" s="181"/>
      <c r="D57" s="339"/>
      <c r="E57" s="181"/>
      <c r="T57" s="319" t="s">
        <v>804</v>
      </c>
    </row>
    <row r="58" spans="1:20" ht="26" hidden="1">
      <c r="A58" s="176" t="s">
        <v>634</v>
      </c>
      <c r="B58" s="186" t="s">
        <v>462</v>
      </c>
      <c r="C58" s="181"/>
      <c r="D58" s="339"/>
      <c r="E58" s="181"/>
      <c r="T58" s="319" t="s">
        <v>805</v>
      </c>
    </row>
    <row r="59" spans="1:20" ht="26" hidden="1">
      <c r="A59" s="176" t="s">
        <v>634</v>
      </c>
      <c r="B59" s="186" t="s">
        <v>463</v>
      </c>
      <c r="C59" s="181"/>
      <c r="D59" s="339"/>
      <c r="E59" s="181"/>
      <c r="T59" s="319" t="s">
        <v>806</v>
      </c>
    </row>
    <row r="60" spans="1:20" ht="14.5">
      <c r="B60" s="340" t="s">
        <v>675</v>
      </c>
      <c r="C60" s="340"/>
      <c r="D60" s="340"/>
      <c r="E60" s="340"/>
      <c r="T60" s="319" t="s">
        <v>807</v>
      </c>
    </row>
    <row r="61" spans="1:20" ht="26">
      <c r="B61" s="186" t="s">
        <v>464</v>
      </c>
      <c r="C61" s="274"/>
      <c r="D61" s="339" t="s">
        <v>511</v>
      </c>
      <c r="E61" s="181" t="s">
        <v>426</v>
      </c>
      <c r="T61" s="319" t="s">
        <v>421</v>
      </c>
    </row>
    <row r="62" spans="1:20" ht="26">
      <c r="B62" s="186" t="s">
        <v>465</v>
      </c>
      <c r="C62" s="181"/>
      <c r="D62" s="339"/>
      <c r="E62" s="181" t="s">
        <v>428</v>
      </c>
      <c r="T62" s="319" t="s">
        <v>808</v>
      </c>
    </row>
    <row r="63" spans="1:20" ht="39">
      <c r="B63" s="186" t="s">
        <v>651</v>
      </c>
      <c r="C63" s="180"/>
      <c r="D63" s="339"/>
      <c r="E63" s="180">
        <v>2018</v>
      </c>
      <c r="T63" s="319" t="s">
        <v>809</v>
      </c>
    </row>
    <row r="64" spans="1:20" ht="26">
      <c r="B64" s="186" t="s">
        <v>482</v>
      </c>
      <c r="C64" s="181"/>
      <c r="D64" s="339"/>
      <c r="E64" s="181">
        <v>3</v>
      </c>
      <c r="T64" s="319" t="s">
        <v>810</v>
      </c>
    </row>
    <row r="65" spans="1:20" ht="26">
      <c r="B65" s="186" t="s">
        <v>483</v>
      </c>
      <c r="C65" s="181"/>
      <c r="D65" s="339"/>
      <c r="E65" s="181" t="s">
        <v>406</v>
      </c>
      <c r="T65" s="319" t="s">
        <v>811</v>
      </c>
    </row>
    <row r="66" spans="1:20" ht="26" hidden="1">
      <c r="A66" s="176" t="s">
        <v>634</v>
      </c>
      <c r="B66" s="186" t="s">
        <v>466</v>
      </c>
      <c r="C66" s="181"/>
      <c r="D66" s="339"/>
      <c r="E66" s="181" t="s">
        <v>427</v>
      </c>
      <c r="T66" s="319" t="s">
        <v>812</v>
      </c>
    </row>
    <row r="67" spans="1:20" ht="26" hidden="1">
      <c r="A67" s="176" t="s">
        <v>634</v>
      </c>
      <c r="B67" s="186" t="s">
        <v>467</v>
      </c>
      <c r="C67" s="181"/>
      <c r="D67" s="339" t="s">
        <v>439</v>
      </c>
      <c r="E67" s="181" t="s">
        <v>428</v>
      </c>
      <c r="T67" s="319" t="s">
        <v>813</v>
      </c>
    </row>
    <row r="68" spans="1:20" ht="39" hidden="1">
      <c r="A68" s="176" t="s">
        <v>634</v>
      </c>
      <c r="B68" s="186" t="s">
        <v>472</v>
      </c>
      <c r="C68" s="270"/>
      <c r="D68" s="339"/>
      <c r="E68" s="270">
        <v>39873</v>
      </c>
    </row>
    <row r="69" spans="1:20" ht="26" hidden="1">
      <c r="A69" s="176" t="s">
        <v>634</v>
      </c>
      <c r="B69" s="186" t="s">
        <v>473</v>
      </c>
      <c r="C69" s="181"/>
      <c r="D69" s="339"/>
      <c r="E69" s="181">
        <v>2</v>
      </c>
    </row>
    <row r="70" spans="1:20" ht="26" hidden="1">
      <c r="A70" s="176" t="s">
        <v>634</v>
      </c>
      <c r="B70" s="186" t="s">
        <v>474</v>
      </c>
      <c r="C70" s="181"/>
      <c r="D70" s="339"/>
      <c r="E70" s="181" t="s">
        <v>405</v>
      </c>
    </row>
    <row r="71" spans="1:20" ht="26" hidden="1">
      <c r="A71" s="176" t="s">
        <v>634</v>
      </c>
      <c r="B71" s="186" t="s">
        <v>468</v>
      </c>
      <c r="C71" s="181"/>
      <c r="D71" s="339"/>
      <c r="E71" s="181" t="s">
        <v>421</v>
      </c>
    </row>
    <row r="72" spans="1:20" ht="26" hidden="1">
      <c r="A72" s="176" t="s">
        <v>634</v>
      </c>
      <c r="B72" s="186" t="s">
        <v>469</v>
      </c>
      <c r="C72" s="181"/>
      <c r="D72" s="339"/>
      <c r="E72" s="181" t="s">
        <v>429</v>
      </c>
    </row>
    <row r="73" spans="1:20" ht="39" hidden="1">
      <c r="A73" s="176" t="s">
        <v>634</v>
      </c>
      <c r="B73" s="186" t="s">
        <v>475</v>
      </c>
      <c r="C73" s="270"/>
      <c r="D73" s="339"/>
      <c r="E73" s="270">
        <v>41395</v>
      </c>
    </row>
    <row r="74" spans="1:20" ht="26" hidden="1">
      <c r="A74" s="176" t="s">
        <v>634</v>
      </c>
      <c r="B74" s="186" t="s">
        <v>479</v>
      </c>
      <c r="C74" s="181"/>
      <c r="D74" s="339" t="s">
        <v>439</v>
      </c>
      <c r="E74" s="181">
        <v>3</v>
      </c>
    </row>
    <row r="75" spans="1:20" ht="26" hidden="1">
      <c r="A75" s="176" t="s">
        <v>634</v>
      </c>
      <c r="B75" s="186" t="s">
        <v>476</v>
      </c>
      <c r="C75" s="181"/>
      <c r="D75" s="339"/>
      <c r="E75" s="181" t="s">
        <v>405</v>
      </c>
    </row>
    <row r="76" spans="1:20" ht="26" hidden="1">
      <c r="A76" s="176" t="s">
        <v>634</v>
      </c>
      <c r="B76" s="186" t="s">
        <v>470</v>
      </c>
      <c r="C76" s="181"/>
      <c r="D76" s="339"/>
      <c r="E76" s="181" t="s">
        <v>407</v>
      </c>
    </row>
    <row r="77" spans="1:20" ht="26" hidden="1">
      <c r="A77" s="176" t="s">
        <v>634</v>
      </c>
      <c r="B77" s="186" t="s">
        <v>471</v>
      </c>
      <c r="C77" s="181"/>
      <c r="D77" s="339"/>
      <c r="E77" s="181" t="s">
        <v>430</v>
      </c>
    </row>
    <row r="78" spans="1:20" ht="39" hidden="1">
      <c r="A78" s="176" t="s">
        <v>634</v>
      </c>
      <c r="B78" s="186" t="s">
        <v>477</v>
      </c>
      <c r="C78" s="270"/>
      <c r="D78" s="339"/>
      <c r="E78" s="270">
        <v>42491</v>
      </c>
    </row>
    <row r="79" spans="1:20" ht="26" hidden="1">
      <c r="A79" s="176" t="s">
        <v>634</v>
      </c>
      <c r="B79" s="186" t="s">
        <v>478</v>
      </c>
      <c r="C79" s="181"/>
      <c r="D79" s="339"/>
      <c r="E79" s="181">
        <v>2</v>
      </c>
    </row>
    <row r="80" spans="1:20" ht="26" hidden="1">
      <c r="A80" s="176" t="s">
        <v>634</v>
      </c>
      <c r="B80" s="186" t="s">
        <v>480</v>
      </c>
      <c r="C80" s="181"/>
      <c r="D80" s="339"/>
      <c r="E80" s="181" t="s">
        <v>408</v>
      </c>
    </row>
    <row r="81" spans="1:23">
      <c r="A81" s="177"/>
      <c r="B81" s="341" t="s">
        <v>671</v>
      </c>
      <c r="C81" s="341"/>
      <c r="D81" s="341"/>
      <c r="E81" s="341"/>
    </row>
    <row r="82" spans="1:23" ht="38.25" hidden="1" customHeight="1">
      <c r="A82" s="176" t="s">
        <v>854</v>
      </c>
      <c r="B82" s="186" t="s">
        <v>108</v>
      </c>
      <c r="C82" s="181">
        <f>C11</f>
        <v>0</v>
      </c>
      <c r="D82" s="339" t="s">
        <v>439</v>
      </c>
      <c r="E82" s="181" t="s">
        <v>490</v>
      </c>
      <c r="F82" s="310">
        <f>LEN(C82)</f>
        <v>1</v>
      </c>
      <c r="W82" s="318"/>
    </row>
    <row r="83" spans="1:23">
      <c r="A83" s="177"/>
      <c r="B83" s="186" t="s">
        <v>837</v>
      </c>
      <c r="C83" s="270"/>
      <c r="D83" s="339"/>
      <c r="E83" s="270">
        <v>21190</v>
      </c>
    </row>
    <row r="84" spans="1:23" ht="26" hidden="1">
      <c r="A84" s="177" t="s">
        <v>854</v>
      </c>
      <c r="B84" s="186" t="s">
        <v>412</v>
      </c>
      <c r="C84" s="181" t="str">
        <f>IF(F82&gt;1,"Father","")</f>
        <v/>
      </c>
      <c r="D84" s="339"/>
      <c r="E84" s="181" t="s">
        <v>395</v>
      </c>
    </row>
    <row r="85" spans="1:23" hidden="1">
      <c r="A85" s="176" t="s">
        <v>854</v>
      </c>
      <c r="B85" s="186" t="s">
        <v>110</v>
      </c>
      <c r="C85" s="181">
        <f>C18</f>
        <v>0</v>
      </c>
      <c r="D85" s="339"/>
      <c r="E85" s="181" t="s">
        <v>491</v>
      </c>
      <c r="F85" s="310">
        <f>LEN(C85)</f>
        <v>1</v>
      </c>
    </row>
    <row r="86" spans="1:23">
      <c r="A86" s="177"/>
      <c r="B86" s="186" t="s">
        <v>652</v>
      </c>
      <c r="C86" s="270"/>
      <c r="D86" s="339"/>
      <c r="E86" s="270">
        <v>23168</v>
      </c>
    </row>
    <row r="87" spans="1:23" ht="26" hidden="1">
      <c r="A87" s="177" t="s">
        <v>854</v>
      </c>
      <c r="B87" s="186" t="s">
        <v>484</v>
      </c>
      <c r="C87" s="181" t="str">
        <f>IF(F85&gt;1,"Mother","")</f>
        <v/>
      </c>
      <c r="D87" s="339"/>
      <c r="E87" s="181" t="s">
        <v>396</v>
      </c>
    </row>
    <row r="88" spans="1:23">
      <c r="A88" s="177"/>
      <c r="B88" s="186" t="s">
        <v>112</v>
      </c>
      <c r="C88" s="181"/>
      <c r="D88" s="339"/>
      <c r="E88" s="181" t="s">
        <v>493</v>
      </c>
    </row>
    <row r="89" spans="1:23">
      <c r="A89" s="177"/>
      <c r="B89" s="186" t="s">
        <v>589</v>
      </c>
      <c r="C89" s="274"/>
      <c r="D89" s="339"/>
      <c r="E89" s="181"/>
    </row>
    <row r="90" spans="1:23">
      <c r="A90" s="177"/>
      <c r="B90" s="186" t="s">
        <v>653</v>
      </c>
      <c r="C90" s="270"/>
      <c r="D90" s="339"/>
      <c r="E90" s="270">
        <v>34856</v>
      </c>
    </row>
    <row r="91" spans="1:23" ht="26">
      <c r="A91" s="177"/>
      <c r="B91" s="186" t="s">
        <v>485</v>
      </c>
      <c r="C91" s="181"/>
      <c r="D91" s="339" t="s">
        <v>439</v>
      </c>
      <c r="E91" s="181" t="s">
        <v>431</v>
      </c>
    </row>
    <row r="92" spans="1:23">
      <c r="A92" s="177"/>
      <c r="B92" s="186" t="s">
        <v>114</v>
      </c>
      <c r="C92" s="181"/>
      <c r="D92" s="339"/>
      <c r="E92" s="181" t="s">
        <v>494</v>
      </c>
    </row>
    <row r="93" spans="1:23">
      <c r="A93" s="177"/>
      <c r="B93" s="186" t="s">
        <v>654</v>
      </c>
      <c r="C93" s="274"/>
      <c r="D93" s="339"/>
      <c r="E93" s="181"/>
    </row>
    <row r="94" spans="1:23">
      <c r="A94" s="177"/>
      <c r="B94" s="186" t="s">
        <v>655</v>
      </c>
      <c r="C94" s="270"/>
      <c r="D94" s="339"/>
      <c r="E94" s="270">
        <v>42161</v>
      </c>
    </row>
    <row r="95" spans="1:23" ht="26">
      <c r="A95" s="177"/>
      <c r="B95" s="186" t="s">
        <v>486</v>
      </c>
      <c r="C95" s="181"/>
      <c r="D95" s="339"/>
      <c r="E95" s="181" t="s">
        <v>432</v>
      </c>
    </row>
    <row r="96" spans="1:23">
      <c r="A96" s="177"/>
      <c r="B96" s="186" t="s">
        <v>116</v>
      </c>
      <c r="C96" s="181"/>
      <c r="D96" s="339"/>
      <c r="E96" s="181" t="s">
        <v>643</v>
      </c>
    </row>
    <row r="97" spans="1:7">
      <c r="A97" s="177"/>
      <c r="B97" s="186" t="s">
        <v>641</v>
      </c>
      <c r="C97" s="274"/>
      <c r="D97" s="339"/>
      <c r="E97" s="181" t="s">
        <v>501</v>
      </c>
    </row>
    <row r="98" spans="1:7">
      <c r="B98" s="186" t="s">
        <v>505</v>
      </c>
      <c r="C98" s="270"/>
      <c r="D98" s="339"/>
      <c r="E98" s="270" t="s">
        <v>514</v>
      </c>
    </row>
    <row r="99" spans="1:7" ht="26">
      <c r="A99" s="178"/>
      <c r="B99" s="186" t="s">
        <v>487</v>
      </c>
      <c r="C99" s="181"/>
      <c r="D99" s="339"/>
      <c r="E99" s="181" t="s">
        <v>642</v>
      </c>
    </row>
    <row r="100" spans="1:7">
      <c r="A100" s="178"/>
      <c r="B100" s="186" t="s">
        <v>305</v>
      </c>
      <c r="C100" s="181"/>
      <c r="D100" s="339"/>
      <c r="E100" s="181"/>
    </row>
    <row r="101" spans="1:7">
      <c r="A101" s="178"/>
      <c r="B101" s="340" t="s">
        <v>672</v>
      </c>
      <c r="C101" s="340"/>
      <c r="D101" s="340"/>
      <c r="E101" s="340"/>
    </row>
    <row r="102" spans="1:7">
      <c r="A102" s="178"/>
      <c r="B102" s="199" t="s">
        <v>673</v>
      </c>
      <c r="C102" s="275"/>
      <c r="D102" s="199"/>
      <c r="E102" s="199" t="s">
        <v>647</v>
      </c>
    </row>
    <row r="103" spans="1:7" ht="38.25" hidden="1" customHeight="1">
      <c r="A103" s="178" t="s">
        <v>854</v>
      </c>
      <c r="B103" s="186" t="s">
        <v>118</v>
      </c>
      <c r="C103" s="181" t="str">
        <f>IF($C$102="Father",C82,IF($C$102="Mother",C85,IF($C$102="Spouse",C88,IF($C$102="Child1",C92,IF($C$102="Child2",C96," ")))))</f>
        <v xml:space="preserve"> </v>
      </c>
      <c r="D103" s="339" t="s">
        <v>439</v>
      </c>
      <c r="E103" s="181" t="s">
        <v>498</v>
      </c>
    </row>
    <row r="104" spans="1:7" ht="26" hidden="1">
      <c r="A104" s="178" t="s">
        <v>634</v>
      </c>
      <c r="B104" s="186" t="s">
        <v>119</v>
      </c>
      <c r="C104" s="181"/>
      <c r="D104" s="339"/>
      <c r="E104" s="181" t="s">
        <v>497</v>
      </c>
    </row>
    <row r="105" spans="1:7" ht="26">
      <c r="A105" s="178"/>
      <c r="B105" s="186" t="s">
        <v>413</v>
      </c>
      <c r="C105" s="181"/>
      <c r="D105" s="339"/>
      <c r="E105" s="181" t="s">
        <v>396</v>
      </c>
    </row>
    <row r="106" spans="1:7" hidden="1">
      <c r="A106" s="178" t="s">
        <v>854</v>
      </c>
      <c r="B106" s="186" t="s">
        <v>656</v>
      </c>
      <c r="C106" s="270" t="str">
        <f>IF($C$102="Father",C83,IF($C$102="Mother",C86,IF($C$102="Spouse",C90,IF($C$102="Child1",C94,IF($C$102="Child2",C98," ")))))</f>
        <v xml:space="preserve"> </v>
      </c>
      <c r="D106" s="339"/>
      <c r="E106" s="270" t="s">
        <v>409</v>
      </c>
    </row>
    <row r="107" spans="1:7" ht="52">
      <c r="A107" s="178"/>
      <c r="B107" s="186" t="s">
        <v>410</v>
      </c>
      <c r="C107" s="188"/>
      <c r="D107" s="339"/>
      <c r="E107" s="188">
        <v>1</v>
      </c>
      <c r="G107" s="320">
        <v>0.25</v>
      </c>
    </row>
    <row r="108" spans="1:7" ht="78">
      <c r="A108" s="178"/>
      <c r="B108" s="186" t="s">
        <v>411</v>
      </c>
      <c r="C108" s="181"/>
      <c r="D108" s="339"/>
      <c r="E108" s="181"/>
      <c r="G108" s="320">
        <v>0.5</v>
      </c>
    </row>
    <row r="109" spans="1:7" ht="38.25" customHeight="1">
      <c r="A109" s="178"/>
      <c r="B109" s="186" t="s">
        <v>301</v>
      </c>
      <c r="C109" s="181"/>
      <c r="D109" s="339" t="s">
        <v>439</v>
      </c>
      <c r="E109" s="181"/>
      <c r="F109" s="310">
        <f>COUNTA(C109)</f>
        <v>0</v>
      </c>
      <c r="G109" s="320">
        <v>0.75</v>
      </c>
    </row>
    <row r="110" spans="1:7" hidden="1">
      <c r="A110" s="178" t="s">
        <v>634</v>
      </c>
      <c r="B110" s="186" t="s">
        <v>302</v>
      </c>
      <c r="C110" s="181"/>
      <c r="D110" s="339"/>
      <c r="E110" s="181"/>
      <c r="G110" s="320">
        <v>1</v>
      </c>
    </row>
    <row r="111" spans="1:7" ht="26">
      <c r="A111" s="178"/>
      <c r="B111" s="186" t="s">
        <v>414</v>
      </c>
      <c r="C111" s="181"/>
      <c r="D111" s="339"/>
      <c r="E111" s="181"/>
    </row>
    <row r="112" spans="1:7" ht="26">
      <c r="A112" s="178"/>
      <c r="B112" s="186" t="s">
        <v>657</v>
      </c>
      <c r="C112" s="270"/>
      <c r="D112" s="339"/>
      <c r="E112" s="270"/>
    </row>
    <row r="113" spans="1:30" ht="52">
      <c r="A113" s="178"/>
      <c r="B113" s="186" t="s">
        <v>415</v>
      </c>
      <c r="C113" s="188"/>
      <c r="D113" s="339"/>
      <c r="E113" s="181"/>
    </row>
    <row r="114" spans="1:30" ht="78">
      <c r="A114" s="178"/>
      <c r="B114" s="186" t="s">
        <v>416</v>
      </c>
      <c r="C114" s="181"/>
      <c r="D114" s="339"/>
      <c r="E114" s="181"/>
    </row>
    <row r="115" spans="1:30">
      <c r="B115" s="340" t="s">
        <v>509</v>
      </c>
      <c r="C115" s="340"/>
      <c r="D115" s="340"/>
      <c r="E115" s="340"/>
    </row>
    <row r="116" spans="1:30" ht="15" customHeight="1">
      <c r="B116" s="186" t="s">
        <v>43</v>
      </c>
      <c r="C116" s="208"/>
      <c r="D116" s="204" t="s">
        <v>439</v>
      </c>
      <c r="E116" s="181">
        <v>12345678</v>
      </c>
    </row>
    <row r="117" spans="1:30" ht="15" customHeight="1">
      <c r="B117" s="186" t="s">
        <v>513</v>
      </c>
      <c r="C117" s="334"/>
      <c r="D117" s="204"/>
      <c r="E117" s="181"/>
    </row>
    <row r="118" spans="1:30" ht="12.75" customHeight="1">
      <c r="B118" s="186" t="s">
        <v>41</v>
      </c>
      <c r="C118" s="181"/>
      <c r="D118" s="205"/>
      <c r="E118" s="181">
        <v>12345678</v>
      </c>
    </row>
    <row r="119" spans="1:30" ht="26">
      <c r="B119" s="186" t="s">
        <v>658</v>
      </c>
      <c r="C119" s="270"/>
      <c r="D119" s="205"/>
      <c r="E119" s="270">
        <v>43132</v>
      </c>
    </row>
    <row r="120" spans="1:30" ht="12.75" hidden="1" customHeight="1">
      <c r="A120" s="176" t="s">
        <v>634</v>
      </c>
      <c r="B120" s="186" t="s">
        <v>273</v>
      </c>
      <c r="C120" s="181"/>
      <c r="D120" s="205"/>
      <c r="E120" s="181">
        <v>9876543</v>
      </c>
    </row>
    <row r="121" spans="1:30" ht="12.75" hidden="1" customHeight="1">
      <c r="A121" s="176" t="s">
        <v>634</v>
      </c>
      <c r="B121" s="340" t="s">
        <v>512</v>
      </c>
      <c r="C121" s="340"/>
      <c r="D121" s="340"/>
      <c r="E121" s="340"/>
    </row>
    <row r="122" spans="1:30" ht="12.75" hidden="1" customHeight="1">
      <c r="A122" s="176" t="s">
        <v>634</v>
      </c>
      <c r="B122" s="186" t="s">
        <v>30</v>
      </c>
      <c r="C122" s="181"/>
      <c r="D122" s="205"/>
      <c r="E122" s="181" t="s">
        <v>495</v>
      </c>
    </row>
    <row r="123" spans="1:30" ht="12.75" hidden="1" customHeight="1">
      <c r="A123" s="176" t="s">
        <v>634</v>
      </c>
      <c r="B123" s="186" t="s">
        <v>261</v>
      </c>
      <c r="C123" s="181"/>
      <c r="D123" s="205"/>
      <c r="E123" s="181">
        <v>9876543</v>
      </c>
    </row>
    <row r="124" spans="1:30" ht="12.75" hidden="1" customHeight="1">
      <c r="A124" s="176" t="s">
        <v>634</v>
      </c>
      <c r="B124" s="186" t="s">
        <v>270</v>
      </c>
      <c r="C124" s="270"/>
      <c r="D124" s="205"/>
      <c r="E124" s="270">
        <v>43132</v>
      </c>
    </row>
    <row r="125" spans="1:30" ht="12.75" hidden="1" customHeight="1">
      <c r="A125" s="176" t="s">
        <v>634</v>
      </c>
      <c r="B125" s="186" t="s">
        <v>271</v>
      </c>
      <c r="C125" s="270"/>
      <c r="D125" s="205"/>
      <c r="E125" s="270">
        <v>43132</v>
      </c>
    </row>
    <row r="126" spans="1:30" ht="12.75" hidden="1" customHeight="1">
      <c r="A126" s="176" t="s">
        <v>634</v>
      </c>
      <c r="B126" s="186" t="s">
        <v>272</v>
      </c>
      <c r="C126" s="181"/>
      <c r="D126" s="205"/>
      <c r="E126" s="181" t="s">
        <v>394</v>
      </c>
    </row>
    <row r="127" spans="1:30">
      <c r="B127" s="340" t="s">
        <v>508</v>
      </c>
      <c r="C127" s="340"/>
      <c r="D127" s="340"/>
      <c r="E127" s="340"/>
    </row>
    <row r="128" spans="1:30">
      <c r="B128" s="309" t="s">
        <v>839</v>
      </c>
      <c r="C128" s="314"/>
      <c r="D128" s="308"/>
      <c r="E128" s="308"/>
      <c r="AC128" s="311" t="s">
        <v>840</v>
      </c>
      <c r="AD128" s="311" t="s">
        <v>846</v>
      </c>
    </row>
    <row r="129" spans="1:30" ht="38.25" customHeight="1">
      <c r="B129" s="186" t="s">
        <v>276</v>
      </c>
      <c r="C129" s="181"/>
      <c r="D129" s="339" t="s">
        <v>439</v>
      </c>
      <c r="E129" s="181" t="s">
        <v>433</v>
      </c>
      <c r="AC129" s="311" t="s">
        <v>841</v>
      </c>
      <c r="AD129" s="311" t="s">
        <v>847</v>
      </c>
    </row>
    <row r="130" spans="1:30">
      <c r="B130" s="186" t="s">
        <v>275</v>
      </c>
      <c r="C130" s="306"/>
      <c r="D130" s="339"/>
      <c r="E130" s="181" t="s">
        <v>434</v>
      </c>
      <c r="AC130" s="311" t="s">
        <v>842</v>
      </c>
      <c r="AD130" s="311" t="s">
        <v>848</v>
      </c>
    </row>
    <row r="131" spans="1:30">
      <c r="B131" s="186" t="s">
        <v>277</v>
      </c>
      <c r="C131" s="181"/>
      <c r="D131" s="339"/>
      <c r="E131" s="181" t="s">
        <v>435</v>
      </c>
      <c r="AC131" s="311" t="s">
        <v>843</v>
      </c>
      <c r="AD131" s="311" t="s">
        <v>849</v>
      </c>
    </row>
    <row r="132" spans="1:30" hidden="1">
      <c r="A132" s="176" t="s">
        <v>838</v>
      </c>
      <c r="B132" s="196" t="s">
        <v>535</v>
      </c>
      <c r="C132" s="196" t="e">
        <f>IF(C128="Others",C131,(VLOOKUP(C128,AC128:AD133,2,0)))</f>
        <v>#N/A</v>
      </c>
      <c r="D132" s="287"/>
      <c r="E132" s="181"/>
      <c r="W132" s="318"/>
      <c r="AC132" s="311" t="s">
        <v>844</v>
      </c>
      <c r="AD132" s="311" t="s">
        <v>850</v>
      </c>
    </row>
    <row r="133" spans="1:30">
      <c r="B133" s="340" t="s">
        <v>510</v>
      </c>
      <c r="C133" s="340"/>
      <c r="D133" s="340"/>
      <c r="E133" s="340"/>
      <c r="AC133" s="311" t="s">
        <v>845</v>
      </c>
      <c r="AD133" s="311" t="s">
        <v>851</v>
      </c>
    </row>
    <row r="134" spans="1:30" ht="15" hidden="1" customHeight="1">
      <c r="A134" s="176" t="s">
        <v>634</v>
      </c>
      <c r="B134" s="186" t="s">
        <v>278</v>
      </c>
      <c r="C134" s="181"/>
      <c r="D134" s="339" t="s">
        <v>439</v>
      </c>
      <c r="E134" s="181" t="s">
        <v>436</v>
      </c>
      <c r="AC134" s="311" t="s">
        <v>502</v>
      </c>
    </row>
    <row r="135" spans="1:30" hidden="1">
      <c r="A135" s="176" t="s">
        <v>634</v>
      </c>
      <c r="B135" s="186" t="s">
        <v>279</v>
      </c>
      <c r="C135" s="207"/>
      <c r="D135" s="339"/>
      <c r="E135" s="182" t="s">
        <v>488</v>
      </c>
    </row>
    <row r="136" spans="1:30" hidden="1">
      <c r="A136" s="176" t="s">
        <v>634</v>
      </c>
      <c r="B136" s="186" t="s">
        <v>280</v>
      </c>
      <c r="C136" s="181"/>
      <c r="D136" s="339"/>
      <c r="E136" s="181"/>
    </row>
    <row r="137" spans="1:30" ht="52" hidden="1">
      <c r="A137" s="176" t="s">
        <v>634</v>
      </c>
      <c r="B137" s="186" t="s">
        <v>282</v>
      </c>
      <c r="C137" s="181"/>
      <c r="D137" s="339"/>
      <c r="E137" s="181" t="s">
        <v>202</v>
      </c>
    </row>
    <row r="138" spans="1:30" ht="26" hidden="1">
      <c r="A138" s="176" t="s">
        <v>634</v>
      </c>
      <c r="B138" s="186" t="s">
        <v>269</v>
      </c>
      <c r="C138" s="181"/>
      <c r="D138" s="339"/>
      <c r="E138" s="181" t="s">
        <v>437</v>
      </c>
    </row>
    <row r="139" spans="1:30" ht="26">
      <c r="B139" s="186" t="s">
        <v>317</v>
      </c>
      <c r="C139" s="181"/>
      <c r="D139" s="339"/>
      <c r="E139" s="181" t="s">
        <v>438</v>
      </c>
    </row>
    <row r="140" spans="1:30" hidden="1">
      <c r="A140" s="176" t="s">
        <v>634</v>
      </c>
      <c r="B140" s="340" t="s">
        <v>507</v>
      </c>
      <c r="C140" s="340"/>
      <c r="D140" s="340"/>
      <c r="E140" s="340"/>
    </row>
    <row r="141" spans="1:30" hidden="1">
      <c r="A141" s="176" t="s">
        <v>634</v>
      </c>
      <c r="B141" s="186" t="s">
        <v>322</v>
      </c>
      <c r="C141" s="272"/>
      <c r="D141" s="339" t="s">
        <v>439</v>
      </c>
      <c r="E141" s="181"/>
    </row>
    <row r="142" spans="1:30" hidden="1">
      <c r="A142" s="176" t="s">
        <v>634</v>
      </c>
      <c r="B142" s="186" t="s">
        <v>323</v>
      </c>
      <c r="C142" s="272"/>
      <c r="D142" s="339"/>
      <c r="E142" s="181"/>
    </row>
    <row r="143" spans="1:30" ht="26" hidden="1">
      <c r="A143" s="176" t="s">
        <v>634</v>
      </c>
      <c r="B143" s="186" t="s">
        <v>326</v>
      </c>
      <c r="C143" s="272"/>
      <c r="D143" s="339"/>
      <c r="E143" s="181"/>
    </row>
    <row r="144" spans="1:30" ht="26" hidden="1">
      <c r="A144" s="176" t="s">
        <v>634</v>
      </c>
      <c r="B144" s="186" t="s">
        <v>324</v>
      </c>
      <c r="C144" s="272"/>
      <c r="D144" s="339"/>
      <c r="E144" s="181"/>
    </row>
    <row r="145" spans="1:12" ht="26" hidden="1">
      <c r="A145" s="176" t="s">
        <v>634</v>
      </c>
      <c r="B145" s="186" t="s">
        <v>325</v>
      </c>
      <c r="C145" s="272"/>
      <c r="D145" s="339"/>
      <c r="E145" s="181"/>
    </row>
    <row r="146" spans="1:12" hidden="1">
      <c r="A146" s="176" t="s">
        <v>634</v>
      </c>
      <c r="B146" s="186" t="s">
        <v>327</v>
      </c>
      <c r="C146" s="272"/>
      <c r="D146" s="339"/>
      <c r="E146" s="181"/>
    </row>
    <row r="147" spans="1:12" hidden="1">
      <c r="A147" s="176" t="s">
        <v>634</v>
      </c>
      <c r="B147" s="186" t="s">
        <v>328</v>
      </c>
      <c r="C147" s="272"/>
      <c r="D147" s="339"/>
      <c r="E147" s="181"/>
    </row>
    <row r="148" spans="1:12" ht="26" hidden="1">
      <c r="A148" s="176" t="s">
        <v>634</v>
      </c>
      <c r="B148" s="186" t="s">
        <v>329</v>
      </c>
      <c r="C148" s="272"/>
      <c r="D148" s="339"/>
      <c r="E148" s="181"/>
    </row>
    <row r="149" spans="1:12" ht="26" hidden="1">
      <c r="A149" s="176" t="s">
        <v>634</v>
      </c>
      <c r="B149" s="186" t="s">
        <v>330</v>
      </c>
      <c r="C149" s="272"/>
      <c r="D149" s="339"/>
      <c r="E149" s="181"/>
    </row>
    <row r="150" spans="1:12" ht="26" hidden="1">
      <c r="A150" s="176" t="s">
        <v>634</v>
      </c>
      <c r="B150" s="186" t="s">
        <v>331</v>
      </c>
      <c r="C150" s="272"/>
      <c r="D150" s="339"/>
      <c r="E150" s="181"/>
    </row>
    <row r="151" spans="1:12" hidden="1">
      <c r="A151" s="176" t="s">
        <v>633</v>
      </c>
      <c r="B151" s="206" t="s">
        <v>640</v>
      </c>
      <c r="C151" s="195"/>
      <c r="D151" s="206"/>
      <c r="E151" s="195"/>
    </row>
    <row r="152" spans="1:12" ht="14.5" hidden="1">
      <c r="A152" s="176" t="s">
        <v>855</v>
      </c>
      <c r="B152" s="206" t="s">
        <v>534</v>
      </c>
      <c r="C152" s="315" t="s">
        <v>815</v>
      </c>
      <c r="D152" s="307"/>
      <c r="E152" s="195"/>
      <c r="G152" s="319" t="s">
        <v>814</v>
      </c>
      <c r="I152" s="310" t="s">
        <v>202</v>
      </c>
      <c r="J152" s="319" t="s">
        <v>639</v>
      </c>
      <c r="L152" s="319" t="s">
        <v>825</v>
      </c>
    </row>
    <row r="153" spans="1:12" ht="14.5" hidden="1">
      <c r="A153" s="176" t="s">
        <v>633</v>
      </c>
      <c r="B153" s="206" t="s">
        <v>564</v>
      </c>
      <c r="C153" s="195"/>
      <c r="D153" s="206"/>
      <c r="E153" s="195"/>
      <c r="G153" s="319" t="s">
        <v>815</v>
      </c>
      <c r="I153" s="310" t="s">
        <v>203</v>
      </c>
      <c r="J153" s="319" t="s">
        <v>824</v>
      </c>
      <c r="L153" s="319" t="s">
        <v>826</v>
      </c>
    </row>
    <row r="154" spans="1:12" ht="14.5" hidden="1">
      <c r="A154" s="176" t="s">
        <v>855</v>
      </c>
      <c r="B154" s="206" t="s">
        <v>575</v>
      </c>
      <c r="C154" s="315" t="s">
        <v>639</v>
      </c>
      <c r="D154" s="307"/>
      <c r="E154" s="195"/>
      <c r="L154" s="319" t="s">
        <v>827</v>
      </c>
    </row>
    <row r="155" spans="1:12" ht="14.5" hidden="1">
      <c r="A155" s="176" t="s">
        <v>633</v>
      </c>
      <c r="B155" s="206" t="s">
        <v>579</v>
      </c>
      <c r="C155" s="195"/>
      <c r="D155" s="206"/>
      <c r="E155" s="195"/>
      <c r="L155" s="319" t="s">
        <v>828</v>
      </c>
    </row>
    <row r="156" spans="1:12" hidden="1">
      <c r="A156" s="176" t="s">
        <v>633</v>
      </c>
      <c r="B156" s="206" t="s">
        <v>568</v>
      </c>
      <c r="C156" s="195"/>
      <c r="D156" s="206"/>
      <c r="E156" s="195"/>
    </row>
    <row r="157" spans="1:12" hidden="1">
      <c r="A157" s="176" t="s">
        <v>633</v>
      </c>
      <c r="B157" s="206" t="s">
        <v>569</v>
      </c>
      <c r="C157" s="195"/>
      <c r="D157" s="206"/>
      <c r="E157" s="195"/>
    </row>
  </sheetData>
  <autoFilter ref="A2:AE157" xr:uid="{00000000-0009-0000-0000-000001000000}">
    <filterColumn colId="0">
      <filters blank="1"/>
    </filterColumn>
    <filterColumn colId="1" showButton="0"/>
    <filterColumn colId="2" showButton="0"/>
    <filterColumn colId="3" showButton="0"/>
  </autoFilter>
  <mergeCells count="27">
    <mergeCell ref="Z7:AA8"/>
    <mergeCell ref="D52:D59"/>
    <mergeCell ref="D61:D66"/>
    <mergeCell ref="D67:D73"/>
    <mergeCell ref="D74:D80"/>
    <mergeCell ref="D82:D90"/>
    <mergeCell ref="B60:E60"/>
    <mergeCell ref="B81:E81"/>
    <mergeCell ref="D43:D51"/>
    <mergeCell ref="B2:E2"/>
    <mergeCell ref="B42:E42"/>
    <mergeCell ref="D3:D14"/>
    <mergeCell ref="D15:D23"/>
    <mergeCell ref="D24:D36"/>
    <mergeCell ref="D37:D41"/>
    <mergeCell ref="D141:D150"/>
    <mergeCell ref="B121:E121"/>
    <mergeCell ref="D91:D100"/>
    <mergeCell ref="D103:D108"/>
    <mergeCell ref="D109:D114"/>
    <mergeCell ref="D129:D131"/>
    <mergeCell ref="B101:E101"/>
    <mergeCell ref="B140:E140"/>
    <mergeCell ref="B115:E115"/>
    <mergeCell ref="B127:E127"/>
    <mergeCell ref="B133:E133"/>
    <mergeCell ref="D134:D139"/>
  </mergeCells>
  <dataValidations count="21">
    <dataValidation type="textLength" operator="equal" allowBlank="1" showInputMessage="1" showErrorMessage="1" error="Aadhar card needs to be 12 digits" sqref="C135" xr:uid="{00000000-0002-0000-0100-000000000000}">
      <formula1>12</formula1>
    </dataValidation>
    <dataValidation operator="equal" allowBlank="1" showInputMessage="1" showErrorMessage="1" sqref="C32" xr:uid="{00000000-0002-0000-0100-000001000000}"/>
    <dataValidation type="list" allowBlank="1" showInputMessage="1" showErrorMessage="1" sqref="C102" xr:uid="{00000000-0002-0000-0100-000002000000}">
      <formula1>$H$3:$H$9</formula1>
    </dataValidation>
    <dataValidation type="list" allowBlank="1" showInputMessage="1" showErrorMessage="1" sqref="C3" xr:uid="{00000000-0002-0000-0100-000003000000}">
      <formula1>$J$3:$J$5</formula1>
    </dataValidation>
    <dataValidation type="whole" operator="lessThan" allowBlank="1" showInputMessage="1" showErrorMessage="1" sqref="C81 C1:C2 C101 E1:E62 C115 C42 C121 E64:E1048576 C60 C127 C140 C10 C133 D1:D1048576 A1:B1048576 F1:XFD1048576" xr:uid="{00000000-0002-0000-0100-000004000000}">
      <formula1>0</formula1>
    </dataValidation>
    <dataValidation type="list" allowBlank="1" showInputMessage="1" showErrorMessage="1" sqref="C14 C89 C93 C97" xr:uid="{00000000-0002-0000-0100-000005000000}">
      <formula1>$K$3:$K$4</formula1>
    </dataValidation>
    <dataValidation type="list" allowBlank="1" showInputMessage="1" showErrorMessage="1" sqref="C16" xr:uid="{00000000-0002-0000-0100-000006000000}">
      <formula1>$L$3:$L$4</formula1>
    </dataValidation>
    <dataValidation type="list" allowBlank="1" showInputMessage="1" showErrorMessage="1" sqref="C20" xr:uid="{00000000-0002-0000-0100-000007000000}">
      <formula1>$M$3:$M$9</formula1>
    </dataValidation>
    <dataValidation type="list" allowBlank="1" showInputMessage="1" showErrorMessage="1" sqref="C22" xr:uid="{00000000-0002-0000-0100-000008000000}">
      <formula1>$N$3:$N$20</formula1>
    </dataValidation>
    <dataValidation type="whole" allowBlank="1" showInputMessage="1" showErrorMessage="1" sqref="C43" xr:uid="{00000000-0002-0000-0100-000009000000}">
      <formula1>0</formula1>
      <formula2>100</formula2>
    </dataValidation>
    <dataValidation type="list" allowBlank="1" showInputMessage="1" showErrorMessage="1" sqref="C26 C34" xr:uid="{00000000-0002-0000-0100-00000A000000}">
      <formula1>$P$3:$P$51</formula1>
    </dataValidation>
    <dataValidation type="list" allowBlank="1" showInputMessage="1" showErrorMessage="1" sqref="C61" xr:uid="{00000000-0002-0000-0100-00000B000000}">
      <formula1>$T$3:$T$67</formula1>
    </dataValidation>
    <dataValidation type="list" allowBlank="1" showInputMessage="1" showErrorMessage="1" sqref="C152" xr:uid="{00000000-0002-0000-0100-00000C000000}">
      <formula1>$G$152:$G$153</formula1>
    </dataValidation>
    <dataValidation type="list" allowBlank="1" showInputMessage="1" showErrorMessage="1" sqref="C21" xr:uid="{00000000-0002-0000-0100-00000D000000}">
      <formula1>$J$17:$J$25</formula1>
    </dataValidation>
    <dataValidation type="list" allowBlank="1" showInputMessage="1" showErrorMessage="1" sqref="C153" xr:uid="{00000000-0002-0000-0100-00000E000000}">
      <formula1>$I$152:$I$153</formula1>
    </dataValidation>
    <dataValidation type="list" allowBlank="1" showInputMessage="1" showErrorMessage="1" sqref="C154" xr:uid="{00000000-0002-0000-0100-00000F000000}">
      <formula1>$J$152:$J$153</formula1>
    </dataValidation>
    <dataValidation type="list" allowBlank="1" showInputMessage="1" showErrorMessage="1" sqref="C155" xr:uid="{00000000-0002-0000-0100-000010000000}">
      <formula1>$L$152:$L$155</formula1>
    </dataValidation>
    <dataValidation type="list" allowBlank="1" showInputMessage="1" showErrorMessage="1" sqref="C113 C107" xr:uid="{00000000-0002-0000-0100-000011000000}">
      <formula1>$G$107:$G$110</formula1>
    </dataValidation>
    <dataValidation type="whole" operator="greaterThan" allowBlank="1" showInputMessage="1" showErrorMessage="1" sqref="C37" xr:uid="{00000000-0002-0000-0100-000012000000}">
      <formula1>9</formula1>
    </dataValidation>
    <dataValidation operator="lessThan" allowBlank="1" showInputMessage="1" showErrorMessage="1" sqref="C132" xr:uid="{00000000-0002-0000-0100-000013000000}"/>
    <dataValidation type="list" operator="lessThan" allowBlank="1" showInputMessage="1" showErrorMessage="1" sqref="C128" xr:uid="{00000000-0002-0000-0100-000014000000}">
      <formula1>$AC$129:$AC$134</formula1>
    </dataValidation>
  </dataValidations>
  <hyperlinks>
    <hyperlink ref="E38" r:id="rId1" xr:uid="{00000000-0004-0000-0100-000000000000}"/>
  </hyperlinks>
  <pageMargins left="0.7" right="0.7" top="0.75" bottom="0.75" header="0.3" footer="0.3"/>
  <pageSetup paperSize="9" orientation="portrait" r:id="rId2"/>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82"/>
  <sheetViews>
    <sheetView showGridLines="0" showZeros="0" view="pageBreakPreview" topLeftCell="A50" zoomScale="41" zoomScaleSheetLayoutView="41" workbookViewId="0">
      <selection activeCell="E102" sqref="E102"/>
    </sheetView>
  </sheetViews>
  <sheetFormatPr defaultColWidth="11.453125" defaultRowHeight="14.5"/>
  <cols>
    <col min="1" max="1" width="52.54296875" customWidth="1"/>
    <col min="2" max="2" width="49" customWidth="1"/>
    <col min="3" max="3" width="35.54296875" customWidth="1"/>
    <col min="4" max="4" width="57.6328125" customWidth="1"/>
    <col min="5" max="5" width="31.6328125" customWidth="1"/>
    <col min="6" max="6" width="46.08984375" customWidth="1"/>
    <col min="8" max="8" width="24.36328125" customWidth="1"/>
  </cols>
  <sheetData>
    <row r="1" spans="1:11" ht="52.5" customHeight="1" thickBot="1">
      <c r="A1" s="202" t="s">
        <v>659</v>
      </c>
      <c r="B1" s="203">
        <f>'Data entry sheet'!C123</f>
        <v>0</v>
      </c>
    </row>
    <row r="2" spans="1:11" ht="51.75" customHeight="1">
      <c r="A2" s="221" t="s">
        <v>32</v>
      </c>
      <c r="B2" s="222"/>
      <c r="C2" s="222"/>
      <c r="D2" s="222"/>
      <c r="E2" s="351" t="s">
        <v>836</v>
      </c>
      <c r="F2" s="352"/>
      <c r="H2" s="223">
        <v>1</v>
      </c>
    </row>
    <row r="3" spans="1:11" ht="9.9" customHeight="1">
      <c r="A3" s="90"/>
      <c r="B3" s="2"/>
      <c r="C3" s="2"/>
      <c r="D3" s="2"/>
      <c r="E3" s="353"/>
      <c r="F3" s="354"/>
    </row>
    <row r="4" spans="1:11" ht="82.5" customHeight="1">
      <c r="A4" s="91" t="s">
        <v>0</v>
      </c>
      <c r="B4" s="224" t="str">
        <f>'Data entry sheet'!C10</f>
        <v xml:space="preserve">  </v>
      </c>
      <c r="C4" s="225"/>
      <c r="D4" s="226"/>
      <c r="E4" s="353"/>
      <c r="F4" s="354"/>
      <c r="H4" s="227"/>
    </row>
    <row r="5" spans="1:11" ht="9.9" customHeight="1">
      <c r="A5" s="91"/>
      <c r="B5" s="2"/>
      <c r="C5" s="2"/>
      <c r="D5" s="2"/>
      <c r="E5" s="353"/>
      <c r="F5" s="354"/>
    </row>
    <row r="6" spans="1:11" ht="85.5" customHeight="1">
      <c r="A6" s="92" t="s">
        <v>33</v>
      </c>
      <c r="B6" s="224">
        <f>'Data entry sheet'!C11</f>
        <v>0</v>
      </c>
      <c r="C6" s="225"/>
      <c r="D6" s="226"/>
      <c r="E6" s="353"/>
      <c r="F6" s="354"/>
    </row>
    <row r="7" spans="1:11" ht="9.9" customHeight="1">
      <c r="A7" s="91"/>
      <c r="B7" s="2"/>
      <c r="C7" s="2"/>
      <c r="D7" s="2"/>
      <c r="E7" s="353"/>
      <c r="F7" s="354"/>
    </row>
    <row r="8" spans="1:11" ht="78" customHeight="1">
      <c r="A8" s="91" t="s">
        <v>1</v>
      </c>
      <c r="B8" s="224">
        <f>'Data entry sheet'!C85</f>
        <v>0</v>
      </c>
      <c r="C8" s="225"/>
      <c r="D8" s="226"/>
      <c r="E8" s="355"/>
      <c r="F8" s="356"/>
      <c r="K8" s="228"/>
    </row>
    <row r="9" spans="1:11" ht="9.9" customHeight="1">
      <c r="A9" s="91"/>
      <c r="B9" s="2"/>
      <c r="C9" s="2"/>
      <c r="D9" s="2"/>
      <c r="E9" s="2"/>
      <c r="F9" s="93"/>
    </row>
    <row r="10" spans="1:11" ht="81" customHeight="1">
      <c r="A10" s="91" t="s">
        <v>2</v>
      </c>
      <c r="B10" s="279">
        <f>'Data entry sheet'!C12</f>
        <v>0</v>
      </c>
      <c r="C10" s="230"/>
      <c r="D10" s="85" t="s">
        <v>34</v>
      </c>
      <c r="E10" s="231">
        <f>'Data entry sheet'!C14</f>
        <v>0</v>
      </c>
      <c r="F10" s="93"/>
    </row>
    <row r="11" spans="1:11" ht="9.9" customHeight="1">
      <c r="A11" s="91"/>
      <c r="B11" s="85"/>
      <c r="C11" s="85"/>
      <c r="D11" s="85"/>
      <c r="E11" s="2"/>
      <c r="F11" s="93"/>
    </row>
    <row r="12" spans="1:11" ht="87" customHeight="1">
      <c r="A12" s="91" t="s">
        <v>3</v>
      </c>
      <c r="B12" s="224">
        <f>'Data entry sheet'!C4</f>
        <v>0</v>
      </c>
      <c r="C12" s="226"/>
      <c r="D12" s="85" t="s">
        <v>17</v>
      </c>
      <c r="E12" s="224" t="s">
        <v>394</v>
      </c>
      <c r="F12" s="232"/>
    </row>
    <row r="13" spans="1:11" ht="9.9" customHeight="1">
      <c r="A13" s="91"/>
      <c r="B13" s="85"/>
      <c r="C13" s="85"/>
      <c r="D13" s="85"/>
      <c r="E13" s="85"/>
      <c r="F13" s="94"/>
    </row>
    <row r="14" spans="1:11" ht="85.5" customHeight="1">
      <c r="A14" s="91" t="s">
        <v>4</v>
      </c>
      <c r="B14" s="224">
        <f>'Data entry sheet'!C15</f>
        <v>0</v>
      </c>
      <c r="C14" s="226"/>
      <c r="D14" s="85" t="s">
        <v>24</v>
      </c>
      <c r="E14" s="224">
        <f>'Data entry sheet'!C17</f>
        <v>0</v>
      </c>
      <c r="F14" s="232"/>
    </row>
    <row r="15" spans="1:11" ht="9.9" customHeight="1">
      <c r="A15" s="91"/>
      <c r="B15" s="85"/>
      <c r="C15" s="85"/>
      <c r="D15" s="85"/>
      <c r="E15" s="85"/>
      <c r="F15" s="94"/>
    </row>
    <row r="16" spans="1:11" ht="95.15" customHeight="1">
      <c r="A16" s="91" t="s">
        <v>5</v>
      </c>
      <c r="B16" s="224">
        <f>'Data entry sheet'!C16</f>
        <v>0</v>
      </c>
      <c r="C16" s="226"/>
      <c r="D16" s="85" t="s">
        <v>25</v>
      </c>
      <c r="E16" s="229">
        <f>'Data entry sheet'!C19</f>
        <v>0</v>
      </c>
      <c r="F16" s="230"/>
    </row>
    <row r="17" spans="1:6" ht="9.9" customHeight="1">
      <c r="A17" s="91"/>
      <c r="B17" s="85"/>
      <c r="C17" s="85"/>
      <c r="D17" s="85"/>
      <c r="E17" s="85"/>
      <c r="F17" s="94"/>
    </row>
    <row r="18" spans="1:6" ht="81" customHeight="1">
      <c r="A18" s="91" t="s">
        <v>268</v>
      </c>
      <c r="B18" s="224">
        <f>'Data entry sheet'!C20</f>
        <v>0</v>
      </c>
      <c r="C18" s="226"/>
      <c r="D18" s="85" t="s">
        <v>26</v>
      </c>
      <c r="E18" s="224" t="str">
        <f>'Data entry sheet'!C21</f>
        <v>India</v>
      </c>
      <c r="F18" s="232"/>
    </row>
    <row r="19" spans="1:6" ht="22.5" customHeight="1">
      <c r="A19" s="91"/>
      <c r="B19" s="85"/>
      <c r="C19" s="85"/>
      <c r="D19" s="85"/>
      <c r="E19" s="85"/>
      <c r="F19" s="94"/>
    </row>
    <row r="20" spans="1:6" ht="83.25" customHeight="1">
      <c r="A20" s="91" t="s">
        <v>6</v>
      </c>
      <c r="B20" s="224">
        <f>'Data entry sheet'!C22</f>
        <v>0</v>
      </c>
      <c r="C20" s="226"/>
      <c r="D20" s="85" t="s">
        <v>27</v>
      </c>
      <c r="E20" s="224">
        <f>'Data entry sheet'!C23</f>
        <v>0</v>
      </c>
      <c r="F20" s="232"/>
    </row>
    <row r="21" spans="1:6" ht="21" customHeight="1">
      <c r="A21" s="90"/>
      <c r="B21" s="2"/>
      <c r="C21" s="2"/>
      <c r="D21" s="2"/>
      <c r="E21" s="2"/>
      <c r="F21" s="93"/>
    </row>
    <row r="22" spans="1:6" ht="42.75" customHeight="1">
      <c r="A22" s="95" t="s">
        <v>7</v>
      </c>
      <c r="B22" s="2"/>
      <c r="C22" s="2"/>
      <c r="D22" s="87" t="s">
        <v>306</v>
      </c>
      <c r="E22" s="8"/>
      <c r="F22" s="96"/>
    </row>
    <row r="23" spans="1:6" ht="88.5" customHeight="1">
      <c r="A23" s="346" t="str">
        <f>'Data entry sheet'!C28</f>
        <v xml:space="preserve">, , , </v>
      </c>
      <c r="B23" s="347"/>
      <c r="C23" s="348"/>
      <c r="D23" s="349" t="str">
        <f>'Data entry sheet'!C32</f>
        <v xml:space="preserve">, , , , </v>
      </c>
      <c r="E23" s="347"/>
      <c r="F23" s="350"/>
    </row>
    <row r="24" spans="1:6" ht="12" customHeight="1">
      <c r="A24" s="233"/>
      <c r="B24" s="234"/>
      <c r="C24" s="235"/>
      <c r="D24" s="236"/>
      <c r="E24" s="234"/>
      <c r="F24" s="237"/>
    </row>
    <row r="25" spans="1:6" ht="42.75" customHeight="1">
      <c r="A25" s="97" t="s">
        <v>9</v>
      </c>
      <c r="B25" s="224">
        <f>'Data entry sheet'!C25</f>
        <v>0</v>
      </c>
      <c r="C25" s="226"/>
      <c r="D25" s="88" t="s">
        <v>9</v>
      </c>
      <c r="E25" s="224">
        <f>'Data entry sheet'!C33</f>
        <v>0</v>
      </c>
      <c r="F25" s="232"/>
    </row>
    <row r="26" spans="1:6" ht="42.75" customHeight="1">
      <c r="A26" s="98" t="s">
        <v>121</v>
      </c>
      <c r="B26" s="219">
        <f>'Data entry sheet'!C26</f>
        <v>0</v>
      </c>
      <c r="C26" s="238">
        <f>'Data entry sheet'!C27</f>
        <v>0</v>
      </c>
      <c r="D26" s="89" t="s">
        <v>121</v>
      </c>
      <c r="E26" s="84">
        <f>'Data entry sheet'!C34</f>
        <v>0</v>
      </c>
      <c r="F26" s="239">
        <f>'Data entry sheet'!C35</f>
        <v>0</v>
      </c>
    </row>
    <row r="27" spans="1:6" ht="9.9" customHeight="1">
      <c r="A27" s="90"/>
      <c r="B27" s="2"/>
      <c r="C27" s="2"/>
      <c r="D27" s="2"/>
      <c r="E27" s="2"/>
      <c r="F27" s="93"/>
    </row>
    <row r="28" spans="1:6" ht="45" customHeight="1">
      <c r="A28" s="105" t="s">
        <v>8</v>
      </c>
      <c r="B28" s="271">
        <f>'Data entry sheet'!C36</f>
        <v>0</v>
      </c>
      <c r="C28" s="240"/>
      <c r="D28" s="86" t="s">
        <v>28</v>
      </c>
      <c r="E28" s="241">
        <f>'Data entry sheet'!C37</f>
        <v>0</v>
      </c>
      <c r="F28" s="242"/>
    </row>
    <row r="29" spans="1:6" ht="13.5" customHeight="1">
      <c r="A29" s="105"/>
      <c r="B29" s="2"/>
      <c r="C29" s="2"/>
      <c r="D29" s="86"/>
      <c r="E29" s="2"/>
      <c r="F29" s="93"/>
    </row>
    <row r="30" spans="1:6" ht="45.75" customHeight="1">
      <c r="A30" s="105" t="s">
        <v>10</v>
      </c>
      <c r="B30" s="243">
        <f>'Data entry sheet'!C38</f>
        <v>0</v>
      </c>
      <c r="C30" s="244"/>
      <c r="D30" s="86" t="s">
        <v>42</v>
      </c>
      <c r="E30" s="245">
        <f>'Data entry sheet'!C39</f>
        <v>0</v>
      </c>
      <c r="F30" s="242"/>
    </row>
    <row r="31" spans="1:6" ht="9.9" customHeight="1">
      <c r="A31" s="105"/>
      <c r="B31" s="2"/>
      <c r="C31" s="2"/>
      <c r="D31" s="86"/>
      <c r="E31" s="2"/>
      <c r="F31" s="93"/>
    </row>
    <row r="32" spans="1:6" ht="57.75" customHeight="1">
      <c r="A32" s="105" t="s">
        <v>11</v>
      </c>
      <c r="B32" s="224">
        <f>'Data entry sheet'!C40</f>
        <v>0</v>
      </c>
      <c r="C32" s="226"/>
      <c r="D32" s="86" t="s">
        <v>29</v>
      </c>
      <c r="E32" s="246">
        <f>'Data entry sheet'!C41</f>
        <v>0</v>
      </c>
      <c r="F32" s="232"/>
    </row>
    <row r="33" spans="1:6" ht="9.9" customHeight="1">
      <c r="A33" s="105"/>
      <c r="B33" s="2"/>
      <c r="C33" s="2"/>
      <c r="D33" s="2"/>
      <c r="E33" s="2"/>
      <c r="F33" s="93"/>
    </row>
    <row r="34" spans="1:6" ht="45" customHeight="1">
      <c r="A34" s="105" t="s">
        <v>12</v>
      </c>
      <c r="B34" s="2"/>
      <c r="C34" s="84">
        <f>'Data entry sheet'!C43</f>
        <v>0</v>
      </c>
      <c r="D34" s="2" t="s">
        <v>316</v>
      </c>
      <c r="E34" s="215">
        <f>'Data entry sheet'!C139</f>
        <v>0</v>
      </c>
      <c r="F34" s="240"/>
    </row>
    <row r="35" spans="1:6" ht="9.9" customHeight="1">
      <c r="A35" s="90"/>
      <c r="B35" s="2"/>
      <c r="C35" s="2"/>
      <c r="D35" s="2"/>
      <c r="E35" s="2"/>
      <c r="F35" s="93"/>
    </row>
    <row r="36" spans="1:6" ht="41.25" customHeight="1">
      <c r="A36" s="90" t="s">
        <v>13</v>
      </c>
      <c r="B36" s="2"/>
      <c r="C36" s="2"/>
      <c r="D36" s="2"/>
      <c r="E36" s="2"/>
      <c r="F36" s="93"/>
    </row>
    <row r="37" spans="1:6" ht="71.25" customHeight="1">
      <c r="A37" s="99" t="s">
        <v>14</v>
      </c>
      <c r="B37" s="6" t="s">
        <v>15</v>
      </c>
      <c r="C37" s="6" t="s">
        <v>16</v>
      </c>
      <c r="D37" s="6" t="s">
        <v>4</v>
      </c>
      <c r="E37" s="247" t="s">
        <v>17</v>
      </c>
      <c r="F37" s="248"/>
    </row>
    <row r="38" spans="1:6" ht="109.5" customHeight="1">
      <c r="A38" s="198">
        <v>1</v>
      </c>
      <c r="B38" s="217">
        <f>'Data entry sheet'!C44</f>
        <v>0</v>
      </c>
      <c r="C38" s="219">
        <f>'Data entry sheet'!C45</f>
        <v>0</v>
      </c>
      <c r="D38" s="219">
        <f>'Data entry sheet'!C46</f>
        <v>0</v>
      </c>
      <c r="E38" s="224">
        <f>'Data entry sheet'!C47</f>
        <v>0</v>
      </c>
      <c r="F38" s="232"/>
    </row>
    <row r="39" spans="1:6" ht="88.5" customHeight="1">
      <c r="A39" s="198">
        <v>2</v>
      </c>
      <c r="B39" s="217"/>
      <c r="C39" s="219"/>
      <c r="D39" s="219"/>
      <c r="E39" s="224"/>
      <c r="F39" s="232"/>
    </row>
    <row r="40" spans="1:6" ht="99.75" customHeight="1">
      <c r="A40" s="198">
        <v>3</v>
      </c>
      <c r="B40" s="217"/>
      <c r="C40" s="219"/>
      <c r="D40" s="219"/>
      <c r="E40" s="224"/>
      <c r="F40" s="232"/>
    </row>
    <row r="41" spans="1:6" ht="86.25" customHeight="1">
      <c r="A41" s="198">
        <v>4</v>
      </c>
      <c r="B41" s="217"/>
      <c r="C41" s="219"/>
      <c r="D41" s="219"/>
      <c r="E41" s="224"/>
      <c r="F41" s="232"/>
    </row>
    <row r="42" spans="1:6" ht="16.5" customHeight="1">
      <c r="A42" s="100"/>
      <c r="B42" s="2"/>
      <c r="C42" s="2"/>
      <c r="D42" s="2"/>
      <c r="E42" s="4"/>
      <c r="F42" s="101"/>
    </row>
    <row r="43" spans="1:6" ht="48.75" customHeight="1">
      <c r="A43" s="105" t="s">
        <v>310</v>
      </c>
      <c r="B43" s="2"/>
      <c r="C43" s="2"/>
      <c r="D43" s="2"/>
      <c r="E43" s="2"/>
      <c r="F43" s="93"/>
    </row>
    <row r="44" spans="1:6" ht="41.25" customHeight="1">
      <c r="A44" s="102" t="s">
        <v>18</v>
      </c>
      <c r="B44" s="3" t="s">
        <v>19</v>
      </c>
      <c r="C44" s="3" t="s">
        <v>20</v>
      </c>
      <c r="D44" s="3" t="s">
        <v>16</v>
      </c>
      <c r="E44" s="215" t="s">
        <v>21</v>
      </c>
      <c r="F44" s="216"/>
    </row>
    <row r="45" spans="1:6" ht="58.5" customHeight="1">
      <c r="A45" s="198">
        <f>'Data entry sheet'!C61</f>
        <v>0</v>
      </c>
      <c r="B45" s="219">
        <f>'Data entry sheet'!C62</f>
        <v>0</v>
      </c>
      <c r="C45" s="218">
        <f>'Data entry sheet'!C63</f>
        <v>0</v>
      </c>
      <c r="D45" s="219">
        <f>'Data entry sheet'!C64</f>
        <v>0</v>
      </c>
      <c r="E45" s="224">
        <f>'Data entry sheet'!C65</f>
        <v>0</v>
      </c>
      <c r="F45" s="232"/>
    </row>
    <row r="46" spans="1:6" ht="57" customHeight="1">
      <c r="A46" s="198"/>
      <c r="B46" s="219"/>
      <c r="C46" s="219"/>
      <c r="D46" s="219"/>
      <c r="E46" s="224"/>
      <c r="F46" s="232"/>
    </row>
    <row r="47" spans="1:6" ht="72.75" customHeight="1">
      <c r="A47" s="198"/>
      <c r="B47" s="219"/>
      <c r="C47" s="219"/>
      <c r="D47" s="219"/>
      <c r="E47" s="224"/>
      <c r="F47" s="232"/>
    </row>
    <row r="48" spans="1:6" ht="69.75" customHeight="1">
      <c r="A48" s="198"/>
      <c r="B48" s="219"/>
      <c r="C48" s="219"/>
      <c r="D48" s="219"/>
      <c r="E48" s="224"/>
      <c r="F48" s="232"/>
    </row>
    <row r="49" spans="1:6" ht="15" customHeight="1">
      <c r="A49" s="90"/>
      <c r="B49" s="2"/>
      <c r="C49" s="2"/>
      <c r="D49" s="2"/>
      <c r="E49" s="2"/>
      <c r="F49" s="93"/>
    </row>
    <row r="50" spans="1:6" ht="58.5" customHeight="1">
      <c r="A50" s="90" t="s">
        <v>44</v>
      </c>
      <c r="B50" s="2"/>
      <c r="C50" s="2"/>
      <c r="D50" s="2"/>
      <c r="E50" s="2"/>
      <c r="F50" s="93"/>
    </row>
    <row r="51" spans="1:6" ht="111.75" customHeight="1">
      <c r="A51" s="103" t="s">
        <v>35</v>
      </c>
      <c r="B51" s="5" t="s">
        <v>36</v>
      </c>
      <c r="C51" s="5" t="s">
        <v>37</v>
      </c>
      <c r="D51" s="6" t="s">
        <v>309</v>
      </c>
      <c r="E51" s="7"/>
      <c r="F51" s="93"/>
    </row>
    <row r="52" spans="1:6" ht="150" customHeight="1">
      <c r="A52" s="198">
        <f>'Data entry sheet'!C82</f>
        <v>0</v>
      </c>
      <c r="B52" s="343">
        <f>'Data entry sheet'!C100</f>
        <v>0</v>
      </c>
      <c r="C52" s="218">
        <f>'Data entry sheet'!C83</f>
        <v>0</v>
      </c>
      <c r="D52" s="219" t="str">
        <f>'Data entry sheet'!C84</f>
        <v/>
      </c>
      <c r="E52" s="2"/>
      <c r="F52" s="93"/>
    </row>
    <row r="53" spans="1:6" ht="154.5" customHeight="1">
      <c r="A53" s="198">
        <f>'Data entry sheet'!C85</f>
        <v>0</v>
      </c>
      <c r="B53" s="344"/>
      <c r="C53" s="218">
        <f>'Data entry sheet'!C86</f>
        <v>0</v>
      </c>
      <c r="D53" s="219" t="str">
        <f>'Data entry sheet'!C87</f>
        <v/>
      </c>
      <c r="E53" s="2"/>
      <c r="F53" s="93"/>
    </row>
    <row r="54" spans="1:6" ht="135" customHeight="1">
      <c r="A54" s="198">
        <f>'Data entry sheet'!C88</f>
        <v>0</v>
      </c>
      <c r="B54" s="344"/>
      <c r="C54" s="218">
        <f>'Data entry sheet'!C90</f>
        <v>0</v>
      </c>
      <c r="D54" s="219">
        <f>'Data entry sheet'!C91</f>
        <v>0</v>
      </c>
      <c r="E54" s="2"/>
      <c r="F54" s="93"/>
    </row>
    <row r="55" spans="1:6" ht="186.75" customHeight="1">
      <c r="A55" s="198">
        <f>'Data entry sheet'!C92</f>
        <v>0</v>
      </c>
      <c r="B55" s="344"/>
      <c r="C55" s="218">
        <f>'Data entry sheet'!C94</f>
        <v>0</v>
      </c>
      <c r="D55" s="219">
        <f>'Data entry sheet'!C95</f>
        <v>0</v>
      </c>
      <c r="E55" s="2"/>
      <c r="F55" s="93"/>
    </row>
    <row r="56" spans="1:6" ht="164.25" customHeight="1">
      <c r="A56" s="198">
        <f>'Data entry sheet'!C96</f>
        <v>0</v>
      </c>
      <c r="B56" s="345"/>
      <c r="C56" s="218">
        <f>'Data entry sheet'!C98</f>
        <v>0</v>
      </c>
      <c r="D56" s="219">
        <f>'Data entry sheet'!C99</f>
        <v>0</v>
      </c>
      <c r="E56" s="2"/>
      <c r="F56" s="93"/>
    </row>
    <row r="57" spans="1:6" ht="48.75" customHeight="1">
      <c r="A57" s="90" t="s">
        <v>38</v>
      </c>
      <c r="B57" s="2"/>
      <c r="C57" s="2"/>
      <c r="D57" s="2"/>
      <c r="E57" s="2"/>
      <c r="F57" s="93"/>
    </row>
    <row r="58" spans="1:6" ht="266.25" customHeight="1">
      <c r="A58" s="99" t="s">
        <v>267</v>
      </c>
      <c r="B58" s="6" t="s">
        <v>311</v>
      </c>
      <c r="C58" s="6" t="s">
        <v>39</v>
      </c>
      <c r="D58" s="6" t="s">
        <v>40</v>
      </c>
      <c r="E58" s="6" t="s">
        <v>262</v>
      </c>
      <c r="F58" s="6" t="s">
        <v>264</v>
      </c>
    </row>
    <row r="59" spans="1:6" ht="183" customHeight="1">
      <c r="A59" s="198" t="str">
        <f>'Data entry sheet'!C103</f>
        <v xml:space="preserve"> </v>
      </c>
      <c r="B59" s="219">
        <f>'Data entry sheet'!C105</f>
        <v>0</v>
      </c>
      <c r="C59" s="249">
        <f>'Data entry sheet'!C107</f>
        <v>0</v>
      </c>
      <c r="D59" s="219">
        <f>'Data entry sheet'!C108</f>
        <v>0</v>
      </c>
      <c r="E59" s="218" t="str">
        <f>'Data entry sheet'!C106</f>
        <v xml:space="preserve"> </v>
      </c>
      <c r="F59" s="220">
        <f>'Data entry sheet'!$C$104</f>
        <v>0</v>
      </c>
    </row>
    <row r="60" spans="1:6" ht="153.75" customHeight="1">
      <c r="A60" s="250">
        <f>'Data entry sheet'!C109</f>
        <v>0</v>
      </c>
      <c r="B60" s="84">
        <f>'Data entry sheet'!C111</f>
        <v>0</v>
      </c>
      <c r="C60" s="251">
        <f>'Data entry sheet'!C113</f>
        <v>0</v>
      </c>
      <c r="D60" s="84">
        <f>'Data entry sheet'!C114</f>
        <v>0</v>
      </c>
      <c r="E60" s="218">
        <f>'Data entry sheet'!C112</f>
        <v>0</v>
      </c>
      <c r="F60" s="220">
        <f>'Data entry sheet'!C110</f>
        <v>0</v>
      </c>
    </row>
    <row r="61" spans="1:6" ht="50.15" customHeight="1">
      <c r="A61" s="104"/>
      <c r="B61" s="3"/>
      <c r="C61" s="3"/>
      <c r="D61" s="3"/>
      <c r="E61" s="3"/>
      <c r="F61" s="3"/>
    </row>
    <row r="62" spans="1:6" ht="50.15" customHeight="1">
      <c r="A62" s="102"/>
      <c r="B62" s="3"/>
      <c r="C62" s="3"/>
      <c r="D62" s="3"/>
      <c r="E62" s="3"/>
      <c r="F62" s="3"/>
    </row>
    <row r="63" spans="1:6" ht="30" customHeight="1">
      <c r="A63" s="90"/>
      <c r="B63" s="2"/>
      <c r="C63" s="2"/>
      <c r="D63" s="2"/>
      <c r="E63" s="2"/>
      <c r="F63" s="93"/>
    </row>
    <row r="64" spans="1:6" ht="52.5" customHeight="1">
      <c r="A64" s="90" t="s">
        <v>43</v>
      </c>
      <c r="B64" s="252">
        <f>'Data entry sheet'!C116</f>
        <v>0</v>
      </c>
      <c r="C64" s="226"/>
      <c r="D64" s="2" t="s">
        <v>41</v>
      </c>
      <c r="E64" s="224">
        <f>'Data entry sheet'!C118</f>
        <v>0</v>
      </c>
      <c r="F64" s="232"/>
    </row>
    <row r="65" spans="1:6" ht="30" customHeight="1">
      <c r="A65" s="90"/>
      <c r="B65" s="85"/>
      <c r="C65" s="85"/>
      <c r="D65" s="2"/>
      <c r="E65" s="85"/>
      <c r="F65" s="94"/>
    </row>
    <row r="66" spans="1:6" ht="48.75" customHeight="1">
      <c r="A66" s="90" t="s">
        <v>22</v>
      </c>
      <c r="B66" s="224">
        <f>'Data entry sheet'!C6</f>
        <v>0</v>
      </c>
      <c r="C66" s="226"/>
      <c r="D66" s="2" t="s">
        <v>273</v>
      </c>
      <c r="E66" s="224">
        <f>'Data entry sheet'!C123</f>
        <v>0</v>
      </c>
      <c r="F66" s="232"/>
    </row>
    <row r="67" spans="1:6" ht="30" customHeight="1">
      <c r="A67" s="90"/>
      <c r="B67" s="85"/>
      <c r="C67" s="85"/>
      <c r="D67" s="2"/>
      <c r="E67" s="85"/>
      <c r="F67" s="94"/>
    </row>
    <row r="68" spans="1:6" ht="52.5" customHeight="1">
      <c r="A68" s="90" t="s">
        <v>23</v>
      </c>
      <c r="B68" s="229">
        <f>'Data entry sheet'!C13</f>
        <v>0</v>
      </c>
      <c r="C68" s="230"/>
      <c r="D68" s="2" t="s">
        <v>30</v>
      </c>
      <c r="E68" s="224">
        <f>'Data entry sheet'!C122</f>
        <v>0</v>
      </c>
      <c r="F68" s="232"/>
    </row>
    <row r="69" spans="1:6" ht="30" customHeight="1">
      <c r="A69" s="90"/>
      <c r="B69" s="85"/>
      <c r="C69" s="85"/>
      <c r="D69" s="2"/>
      <c r="E69" s="85"/>
      <c r="F69" s="94"/>
    </row>
    <row r="70" spans="1:6" ht="60" customHeight="1">
      <c r="A70" s="90" t="s">
        <v>270</v>
      </c>
      <c r="B70" s="229">
        <f>'Data entry sheet'!C124</f>
        <v>0</v>
      </c>
      <c r="C70" s="230"/>
      <c r="D70" s="1" t="s">
        <v>271</v>
      </c>
      <c r="E70" s="229">
        <f>'Data entry sheet'!C125</f>
        <v>0</v>
      </c>
      <c r="F70" s="230"/>
    </row>
    <row r="71" spans="1:6" ht="30" customHeight="1">
      <c r="A71" s="90"/>
      <c r="B71" s="85"/>
      <c r="C71" s="85"/>
      <c r="D71" s="2"/>
      <c r="E71" s="85"/>
      <c r="F71" s="94"/>
    </row>
    <row r="72" spans="1:6" ht="52.5" customHeight="1">
      <c r="A72" s="90" t="s">
        <v>272</v>
      </c>
      <c r="B72" s="224">
        <f>'Data entry sheet'!C5</f>
        <v>0</v>
      </c>
      <c r="C72" s="226"/>
      <c r="D72" s="2" t="s">
        <v>276</v>
      </c>
      <c r="E72" s="224">
        <f>'Data entry sheet'!C129</f>
        <v>0</v>
      </c>
      <c r="F72" s="232"/>
    </row>
    <row r="73" spans="1:6" ht="35.25" customHeight="1">
      <c r="A73" s="253"/>
      <c r="B73" s="254"/>
      <c r="C73" s="254"/>
      <c r="E73" s="254"/>
      <c r="F73" s="255"/>
    </row>
    <row r="74" spans="1:6" ht="45.75" customHeight="1">
      <c r="A74" s="90" t="s">
        <v>275</v>
      </c>
      <c r="B74" s="252">
        <f>'Data entry sheet'!C130</f>
        <v>0</v>
      </c>
      <c r="C74" s="226"/>
      <c r="D74" s="2" t="s">
        <v>277</v>
      </c>
      <c r="E74" s="224">
        <f>'Data entry sheet'!C131</f>
        <v>0</v>
      </c>
      <c r="F74" s="232"/>
    </row>
    <row r="75" spans="1:6" ht="42.75" customHeight="1">
      <c r="A75" s="213" t="s">
        <v>274</v>
      </c>
      <c r="B75" s="214"/>
      <c r="C75" s="214"/>
      <c r="F75" s="256"/>
    </row>
    <row r="76" spans="1:6" ht="63.75" customHeight="1">
      <c r="A76" s="90" t="s">
        <v>278</v>
      </c>
      <c r="B76" s="219">
        <f>'Data entry sheet'!C134</f>
        <v>0</v>
      </c>
      <c r="C76" s="7" t="s">
        <v>279</v>
      </c>
      <c r="D76" s="257">
        <f>'Data entry sheet'!C135</f>
        <v>0</v>
      </c>
      <c r="E76" s="7" t="s">
        <v>280</v>
      </c>
      <c r="F76" s="258">
        <f>'Data entry sheet'!C136</f>
        <v>0</v>
      </c>
    </row>
    <row r="77" spans="1:6" ht="17.25" customHeight="1">
      <c r="A77" s="2"/>
      <c r="B77" s="259"/>
      <c r="C77" s="7"/>
      <c r="D77" s="259"/>
      <c r="E77" s="7"/>
      <c r="F77" s="260"/>
    </row>
    <row r="78" spans="1:6" ht="57" customHeight="1">
      <c r="A78" s="261" t="s">
        <v>318</v>
      </c>
      <c r="B78" s="261" t="s">
        <v>319</v>
      </c>
      <c r="C78" s="261" t="s">
        <v>332</v>
      </c>
      <c r="D78" s="261" t="s">
        <v>320</v>
      </c>
      <c r="E78" s="261" t="s">
        <v>321</v>
      </c>
      <c r="F78" s="114"/>
    </row>
    <row r="79" spans="1:6" ht="47.25" customHeight="1">
      <c r="A79" s="262"/>
      <c r="B79" s="262"/>
      <c r="C79" s="262"/>
      <c r="D79" s="262"/>
      <c r="E79" s="263"/>
    </row>
    <row r="80" spans="1:6" ht="51" customHeight="1">
      <c r="A80" s="262"/>
      <c r="B80" s="262"/>
      <c r="C80" s="262"/>
      <c r="D80" s="262"/>
      <c r="E80" s="263"/>
      <c r="F80" s="101"/>
    </row>
    <row r="81" spans="1:6" ht="24.75" customHeight="1">
      <c r="A81" s="211" t="s">
        <v>281</v>
      </c>
      <c r="B81" s="212"/>
      <c r="C81" s="212"/>
      <c r="D81" s="212"/>
      <c r="E81" s="212"/>
      <c r="F81" s="114"/>
    </row>
    <row r="82" spans="1:6" ht="62.25" customHeight="1" thickBot="1">
      <c r="A82" s="264"/>
      <c r="B82" s="265"/>
      <c r="C82" s="265"/>
      <c r="D82" s="187" t="s">
        <v>31</v>
      </c>
      <c r="E82" s="215"/>
      <c r="F82" s="216"/>
    </row>
  </sheetData>
  <mergeCells count="4">
    <mergeCell ref="B52:B56"/>
    <mergeCell ref="A23:C23"/>
    <mergeCell ref="D23:F23"/>
    <mergeCell ref="E2:F8"/>
  </mergeCells>
  <conditionalFormatting sqref="B12:C12">
    <cfRule type="containsText" dxfId="3" priority="3" operator="containsText" text="0">
      <formula>NOT(ISERROR(SEARCH("0",B12)))</formula>
    </cfRule>
    <cfRule type="cellIs" dxfId="2" priority="4" operator="equal">
      <formula>0</formula>
    </cfRule>
  </conditionalFormatting>
  <conditionalFormatting sqref="A1:XFD1 A53:A56 C53:XFD56 A57:XFD1048576 A24:XFD52 A23 D23 G23:XFD23 A9:XFD22 A2:E2 A3:D8 G2:XFD8">
    <cfRule type="cellIs" dxfId="1" priority="1" operator="equal">
      <formula>0</formula>
    </cfRule>
    <cfRule type="cellIs" dxfId="0" priority="2" operator="equal">
      <formula>0</formula>
    </cfRule>
  </conditionalFormatting>
  <pageMargins left="0.7" right="0.7" top="0.78740157499999996" bottom="0.78740157499999996" header="0.3" footer="0.3"/>
  <pageSetup paperSize="9" scale="28" orientation="portrait" r:id="rId1"/>
  <rowBreaks count="1" manualBreakCount="1">
    <brk id="48" max="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I39"/>
  <sheetViews>
    <sheetView showGridLines="0" workbookViewId="0">
      <selection activeCell="A16" sqref="A16:G16"/>
    </sheetView>
  </sheetViews>
  <sheetFormatPr defaultColWidth="0" defaultRowHeight="14.5" zeroHeight="1"/>
  <cols>
    <col min="1" max="9" width="9.08984375" customWidth="1"/>
    <col min="10" max="16384" width="9.0898437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Q61"/>
  <sheetViews>
    <sheetView showGridLines="0" showZeros="0" view="pageBreakPreview" topLeftCell="A46" zoomScaleSheetLayoutView="85" workbookViewId="0">
      <selection activeCell="I24" sqref="I24:K26"/>
    </sheetView>
  </sheetViews>
  <sheetFormatPr defaultColWidth="8" defaultRowHeight="13"/>
  <cols>
    <col min="1" max="1" width="6.90625" style="10" customWidth="1"/>
    <col min="2" max="2" width="11.453125" style="10" customWidth="1"/>
    <col min="3" max="3" width="16.90625" style="10" customWidth="1"/>
    <col min="4" max="4" width="13" style="10" customWidth="1"/>
    <col min="5" max="5" width="1.08984375" style="10" customWidth="1"/>
    <col min="6" max="6" width="0.36328125" style="10" hidden="1" customWidth="1"/>
    <col min="7" max="7" width="10.90625" style="10" customWidth="1"/>
    <col min="8" max="8" width="2.90625" style="10" customWidth="1"/>
    <col min="9" max="9" width="5.90625" style="10" customWidth="1"/>
    <col min="10" max="10" width="9.90625" style="10" customWidth="1"/>
    <col min="11" max="11" width="24.08984375" style="10" customWidth="1"/>
    <col min="12" max="12" width="1.90625" style="10" customWidth="1"/>
    <col min="13" max="13" width="5.90625" style="10" customWidth="1"/>
    <col min="14" max="16384" width="8" style="10"/>
  </cols>
  <sheetData>
    <row r="1" spans="1:17" ht="14.15" customHeight="1">
      <c r="A1" s="9"/>
    </row>
    <row r="2" spans="1:17" ht="12" customHeight="1">
      <c r="A2" s="438" t="s">
        <v>45</v>
      </c>
      <c r="B2" s="438"/>
      <c r="C2" s="438"/>
      <c r="D2" s="438"/>
      <c r="E2" s="438"/>
      <c r="F2" s="438"/>
      <c r="G2" s="438"/>
      <c r="H2" s="438"/>
      <c r="I2" s="438"/>
      <c r="J2" s="438"/>
      <c r="K2" s="438"/>
    </row>
    <row r="3" spans="1:17" ht="15" customHeight="1">
      <c r="A3" s="439" t="s">
        <v>46</v>
      </c>
      <c r="B3" s="439"/>
      <c r="C3" s="439"/>
      <c r="D3" s="439"/>
      <c r="E3" s="439"/>
      <c r="F3" s="439"/>
      <c r="G3" s="439"/>
      <c r="H3" s="439"/>
      <c r="I3" s="439"/>
      <c r="J3" s="439"/>
      <c r="K3" s="439"/>
    </row>
    <row r="4" spans="1:17" ht="15" customHeight="1">
      <c r="A4" s="406" t="s">
        <v>47</v>
      </c>
      <c r="B4" s="406"/>
      <c r="C4" s="406"/>
      <c r="D4" s="406"/>
      <c r="E4" s="406"/>
      <c r="F4" s="406"/>
      <c r="G4" s="406"/>
      <c r="H4" s="406"/>
      <c r="I4" s="406"/>
      <c r="J4" s="406"/>
      <c r="K4" s="406"/>
    </row>
    <row r="5" spans="1:17" ht="25.5" customHeight="1">
      <c r="A5" s="367" t="s">
        <v>48</v>
      </c>
      <c r="B5" s="367"/>
      <c r="C5" s="367"/>
      <c r="D5" s="367"/>
      <c r="E5" s="367"/>
      <c r="F5" s="367"/>
      <c r="G5" s="367"/>
      <c r="H5" s="367"/>
      <c r="I5" s="367"/>
      <c r="J5" s="367"/>
      <c r="K5" s="367"/>
      <c r="N5" s="106"/>
    </row>
    <row r="6" spans="1:17" ht="27.75" customHeight="1">
      <c r="A6" s="426" t="s">
        <v>49</v>
      </c>
      <c r="B6" s="427"/>
      <c r="C6" s="427"/>
      <c r="D6" s="429" t="str">
        <f>'Data entry sheet'!C10</f>
        <v xml:space="preserve">  </v>
      </c>
      <c r="E6" s="429"/>
      <c r="F6" s="429"/>
      <c r="G6" s="429"/>
      <c r="H6" s="429"/>
      <c r="I6" s="429"/>
      <c r="J6" s="429"/>
      <c r="K6" s="429"/>
      <c r="Q6"/>
    </row>
    <row r="7" spans="1:17" ht="27" customHeight="1">
      <c r="A7" s="426" t="s">
        <v>50</v>
      </c>
      <c r="B7" s="427"/>
      <c r="C7" s="427"/>
      <c r="D7" s="429">
        <f>'Data entry sheet'!C11</f>
        <v>0</v>
      </c>
      <c r="E7" s="429"/>
      <c r="F7" s="429"/>
      <c r="G7" s="429"/>
      <c r="H7" s="429"/>
      <c r="I7" s="429"/>
      <c r="J7" s="429"/>
      <c r="K7" s="429"/>
    </row>
    <row r="8" spans="1:17" ht="31.5" customHeight="1">
      <c r="A8" s="426" t="s">
        <v>51</v>
      </c>
      <c r="B8" s="427"/>
      <c r="C8" s="427"/>
      <c r="D8" s="437">
        <f>'Data entry sheet'!C12</f>
        <v>0</v>
      </c>
      <c r="E8" s="437"/>
      <c r="F8" s="437"/>
      <c r="G8" s="437"/>
      <c r="H8" s="437"/>
      <c r="I8" s="437"/>
      <c r="J8" s="437"/>
      <c r="K8" s="437"/>
    </row>
    <row r="9" spans="1:17" ht="36.75" customHeight="1">
      <c r="A9" s="426" t="s">
        <v>52</v>
      </c>
      <c r="B9" s="427"/>
      <c r="C9" s="427"/>
      <c r="D9" s="428">
        <f>'Data entry sheet'!C130</f>
        <v>0</v>
      </c>
      <c r="E9" s="429"/>
      <c r="F9" s="429"/>
      <c r="G9" s="429"/>
      <c r="H9" s="429"/>
      <c r="I9" s="429"/>
      <c r="J9" s="429"/>
      <c r="K9" s="429"/>
    </row>
    <row r="10" spans="1:17" ht="21" customHeight="1">
      <c r="A10" s="11" t="s">
        <v>53</v>
      </c>
      <c r="B10" s="12">
        <f>'Data entry sheet'!C14</f>
        <v>0</v>
      </c>
      <c r="C10" s="12"/>
      <c r="D10" s="12" t="s">
        <v>54</v>
      </c>
      <c r="E10" s="12"/>
      <c r="F10" s="12"/>
      <c r="G10" s="429">
        <f>'Data entry sheet'!C16</f>
        <v>0</v>
      </c>
      <c r="H10" s="429"/>
      <c r="I10" s="429"/>
      <c r="J10" s="429"/>
      <c r="K10" s="429"/>
    </row>
    <row r="11" spans="1:17" ht="30.75" customHeight="1">
      <c r="A11" s="426" t="s">
        <v>55</v>
      </c>
      <c r="B11" s="427"/>
      <c r="C11" s="427"/>
      <c r="D11" s="407" t="str">
        <f>'Data entry sheet'!C32</f>
        <v xml:space="preserve">, , , , </v>
      </c>
      <c r="E11" s="408"/>
      <c r="F11" s="408"/>
      <c r="G11" s="408"/>
      <c r="H11" s="408"/>
      <c r="I11" s="408"/>
      <c r="J11" s="408"/>
      <c r="K11" s="409"/>
    </row>
    <row r="12" spans="1:17" ht="19.5" customHeight="1">
      <c r="A12" s="457" t="s">
        <v>56</v>
      </c>
      <c r="B12" s="457"/>
      <c r="C12" s="457"/>
      <c r="D12" s="457"/>
      <c r="E12" s="457"/>
      <c r="F12" s="457"/>
      <c r="G12" s="457"/>
      <c r="H12" s="457"/>
      <c r="I12" s="457"/>
      <c r="J12" s="457"/>
      <c r="K12" s="457"/>
    </row>
    <row r="13" spans="1:17" ht="36.75" customHeight="1">
      <c r="A13" s="430" t="s">
        <v>57</v>
      </c>
      <c r="B13" s="430"/>
      <c r="C13" s="430"/>
      <c r="D13" s="430"/>
      <c r="E13" s="430"/>
      <c r="F13" s="430"/>
      <c r="G13" s="430"/>
      <c r="H13" s="430"/>
      <c r="I13" s="430"/>
      <c r="J13" s="430"/>
      <c r="K13" s="430"/>
    </row>
    <row r="14" spans="1:17" ht="56.15" customHeight="1">
      <c r="A14" s="394" t="s">
        <v>58</v>
      </c>
      <c r="B14" s="396"/>
      <c r="C14" s="13" t="s">
        <v>59</v>
      </c>
      <c r="D14" s="431" t="s">
        <v>60</v>
      </c>
      <c r="E14" s="432"/>
      <c r="F14" s="394" t="s">
        <v>61</v>
      </c>
      <c r="G14" s="396"/>
      <c r="H14" s="431" t="s">
        <v>62</v>
      </c>
      <c r="I14" s="433"/>
      <c r="J14" s="432"/>
      <c r="K14" s="14" t="s">
        <v>63</v>
      </c>
    </row>
    <row r="15" spans="1:17" ht="18" customHeight="1">
      <c r="A15" s="434">
        <v>1</v>
      </c>
      <c r="B15" s="435"/>
      <c r="C15" s="110">
        <v>2</v>
      </c>
      <c r="D15" s="434">
        <v>3</v>
      </c>
      <c r="E15" s="435"/>
      <c r="F15" s="434">
        <v>4</v>
      </c>
      <c r="G15" s="435"/>
      <c r="H15" s="434">
        <v>5</v>
      </c>
      <c r="I15" s="436"/>
      <c r="J15" s="435"/>
      <c r="K15" s="15">
        <v>6</v>
      </c>
    </row>
    <row r="16" spans="1:17" ht="44.25" customHeight="1">
      <c r="A16" s="394" t="str">
        <f>'Data entry sheet'!C103</f>
        <v xml:space="preserve"> </v>
      </c>
      <c r="B16" s="395"/>
      <c r="C16" s="393">
        <f>'Data entry sheet'!C104</f>
        <v>0</v>
      </c>
      <c r="D16" s="395">
        <f>'Data entry sheet'!C105</f>
        <v>0</v>
      </c>
      <c r="E16" s="396"/>
      <c r="F16" s="398" t="str">
        <f>'Data entry sheet'!C106</f>
        <v xml:space="preserve"> </v>
      </c>
      <c r="G16" s="405"/>
      <c r="H16" s="415">
        <f>'Data entry sheet'!C107</f>
        <v>0</v>
      </c>
      <c r="I16" s="395"/>
      <c r="J16" s="396"/>
      <c r="K16" s="16">
        <f>'Data entry sheet'!C108</f>
        <v>0</v>
      </c>
    </row>
    <row r="17" spans="1:11" ht="33" customHeight="1">
      <c r="A17" s="394">
        <f>'Data entry sheet'!C109</f>
        <v>0</v>
      </c>
      <c r="B17" s="395"/>
      <c r="C17" s="393"/>
      <c r="D17" s="395">
        <f>'Data entry sheet'!C111</f>
        <v>0</v>
      </c>
      <c r="E17" s="396"/>
      <c r="F17" s="398">
        <f>'Data entry sheet'!C112</f>
        <v>0</v>
      </c>
      <c r="G17" s="405"/>
      <c r="H17" s="415">
        <f>'Data entry sheet'!C113</f>
        <v>0</v>
      </c>
      <c r="I17" s="395"/>
      <c r="J17" s="396"/>
      <c r="K17" s="16">
        <f>'Data entry sheet'!C114</f>
        <v>0</v>
      </c>
    </row>
    <row r="18" spans="1:11" ht="39.75" customHeight="1">
      <c r="A18" s="394"/>
      <c r="B18" s="395"/>
      <c r="C18" s="393"/>
      <c r="D18" s="395"/>
      <c r="E18" s="396"/>
      <c r="F18" s="394"/>
      <c r="G18" s="396"/>
      <c r="H18" s="394"/>
      <c r="I18" s="395"/>
      <c r="J18" s="396"/>
      <c r="K18" s="16"/>
    </row>
    <row r="19" spans="1:11" ht="19.5" customHeight="1">
      <c r="A19" s="394"/>
      <c r="B19" s="395"/>
      <c r="C19" s="36"/>
      <c r="D19" s="395"/>
      <c r="E19" s="396"/>
      <c r="F19" s="394"/>
      <c r="G19" s="396"/>
      <c r="H19" s="394"/>
      <c r="I19" s="395"/>
      <c r="J19" s="396"/>
      <c r="K19" s="16"/>
    </row>
    <row r="20" spans="1:11" ht="20.25" customHeight="1">
      <c r="A20" s="394"/>
      <c r="B20" s="395"/>
      <c r="C20" s="36"/>
      <c r="D20" s="395"/>
      <c r="E20" s="396"/>
      <c r="F20" s="394"/>
      <c r="G20" s="396"/>
      <c r="H20" s="394"/>
      <c r="I20" s="395"/>
      <c r="J20" s="396"/>
      <c r="K20" s="16"/>
    </row>
    <row r="21" spans="1:11" ht="25.5" customHeight="1">
      <c r="A21" s="394"/>
      <c r="B21" s="395"/>
      <c r="C21" s="36"/>
      <c r="D21" s="395"/>
      <c r="E21" s="396"/>
      <c r="F21" s="394"/>
      <c r="G21" s="396"/>
      <c r="H21" s="394"/>
      <c r="I21" s="395"/>
      <c r="J21" s="396"/>
      <c r="K21" s="16"/>
    </row>
    <row r="22" spans="1:11" ht="18.899999999999999" customHeight="1">
      <c r="A22" s="394"/>
      <c r="B22" s="395"/>
      <c r="C22" s="36"/>
      <c r="D22" s="395"/>
      <c r="E22" s="396"/>
      <c r="F22" s="394"/>
      <c r="G22" s="396"/>
      <c r="H22" s="394"/>
      <c r="I22" s="395"/>
      <c r="J22" s="396"/>
      <c r="K22" s="16"/>
    </row>
    <row r="23" spans="1:11" ht="30.75" customHeight="1">
      <c r="A23" s="416" t="s">
        <v>64</v>
      </c>
      <c r="B23" s="416"/>
      <c r="C23" s="384"/>
      <c r="D23" s="416"/>
      <c r="E23" s="416"/>
      <c r="F23" s="416"/>
      <c r="G23" s="416"/>
      <c r="H23" s="416"/>
      <c r="I23" s="416"/>
      <c r="J23" s="416"/>
      <c r="K23" s="416"/>
    </row>
    <row r="24" spans="1:11" ht="13.5" customHeight="1">
      <c r="A24" s="17" t="s">
        <v>65</v>
      </c>
      <c r="I24" s="417" t="s">
        <v>66</v>
      </c>
      <c r="J24" s="418"/>
      <c r="K24" s="419"/>
    </row>
    <row r="25" spans="1:11" ht="15.75" customHeight="1">
      <c r="A25" s="17" t="s">
        <v>67</v>
      </c>
      <c r="I25" s="420"/>
      <c r="J25" s="421"/>
      <c r="K25" s="422"/>
    </row>
    <row r="26" spans="1:11" ht="44.25" customHeight="1">
      <c r="A26" s="18"/>
      <c r="I26" s="423"/>
      <c r="J26" s="424"/>
      <c r="K26" s="425"/>
    </row>
    <row r="27" spans="1:11" ht="11.15" customHeight="1">
      <c r="A27" s="406" t="s">
        <v>68</v>
      </c>
      <c r="B27" s="406"/>
      <c r="C27" s="406"/>
      <c r="D27" s="406"/>
      <c r="E27" s="406"/>
      <c r="F27" s="406"/>
      <c r="G27" s="406"/>
      <c r="H27" s="406"/>
      <c r="I27" s="406"/>
      <c r="J27" s="406"/>
      <c r="K27" s="406"/>
    </row>
    <row r="28" spans="1:11" ht="11.15" customHeight="1">
      <c r="A28" s="406" t="s">
        <v>69</v>
      </c>
      <c r="B28" s="406"/>
      <c r="C28" s="406"/>
      <c r="D28" s="406"/>
      <c r="E28" s="406"/>
      <c r="F28" s="406"/>
      <c r="G28" s="406"/>
      <c r="H28" s="406"/>
      <c r="I28" s="406"/>
      <c r="J28" s="406"/>
      <c r="K28" s="406"/>
    </row>
    <row r="29" spans="1:11" ht="33.75" customHeight="1">
      <c r="A29" s="407" t="s">
        <v>70</v>
      </c>
      <c r="B29" s="408"/>
      <c r="C29" s="408"/>
      <c r="D29" s="408"/>
      <c r="E29" s="408"/>
      <c r="F29" s="408"/>
      <c r="G29" s="408"/>
      <c r="H29" s="408"/>
      <c r="I29" s="408"/>
      <c r="J29" s="408"/>
      <c r="K29" s="409"/>
    </row>
    <row r="30" spans="1:11" ht="29.15" customHeight="1">
      <c r="A30" s="19" t="s">
        <v>71</v>
      </c>
      <c r="B30" s="410" t="s">
        <v>72</v>
      </c>
      <c r="C30" s="411"/>
      <c r="D30" s="411"/>
      <c r="E30" s="411"/>
      <c r="F30" s="412"/>
      <c r="G30" s="413" t="s">
        <v>73</v>
      </c>
      <c r="H30" s="414"/>
      <c r="I30" s="410" t="s">
        <v>74</v>
      </c>
      <c r="J30" s="411"/>
      <c r="K30" s="412"/>
    </row>
    <row r="31" spans="1:11" ht="12" customHeight="1">
      <c r="A31" s="20">
        <v>-1</v>
      </c>
      <c r="B31" s="402">
        <v>-2</v>
      </c>
      <c r="C31" s="403"/>
      <c r="D31" s="403"/>
      <c r="E31" s="403"/>
      <c r="F31" s="404"/>
      <c r="G31" s="402">
        <v>-3</v>
      </c>
      <c r="H31" s="404"/>
      <c r="I31" s="402">
        <v>-4</v>
      </c>
      <c r="J31" s="403"/>
      <c r="K31" s="404"/>
    </row>
    <row r="32" spans="1:11" ht="20.25" customHeight="1">
      <c r="A32" s="16"/>
      <c r="B32" s="394" t="str">
        <f>A16</f>
        <v xml:space="preserve"> </v>
      </c>
      <c r="C32" s="395"/>
      <c r="D32" s="395"/>
      <c r="E32" s="395"/>
      <c r="F32" s="396"/>
      <c r="G32" s="398" t="str">
        <f>F16</f>
        <v xml:space="preserve"> </v>
      </c>
      <c r="H32" s="405"/>
      <c r="I32" s="394">
        <f>D16</f>
        <v>0</v>
      </c>
      <c r="J32" s="395"/>
      <c r="K32" s="396"/>
    </row>
    <row r="33" spans="1:11" ht="16.5" customHeight="1">
      <c r="A33" s="16"/>
      <c r="B33" s="397">
        <f>C16</f>
        <v>0</v>
      </c>
      <c r="C33" s="387"/>
      <c r="D33" s="387"/>
      <c r="E33" s="387"/>
      <c r="F33" s="388"/>
      <c r="G33" s="394"/>
      <c r="H33" s="396"/>
      <c r="I33" s="394"/>
      <c r="J33" s="395"/>
      <c r="K33" s="396"/>
    </row>
    <row r="34" spans="1:11" ht="20.25" customHeight="1">
      <c r="A34" s="16"/>
      <c r="B34" s="399"/>
      <c r="C34" s="400"/>
      <c r="D34" s="400"/>
      <c r="E34" s="400"/>
      <c r="F34" s="401"/>
      <c r="G34" s="394"/>
      <c r="H34" s="396"/>
      <c r="I34" s="394"/>
      <c r="J34" s="395"/>
      <c r="K34" s="396"/>
    </row>
    <row r="35" spans="1:11" ht="21" customHeight="1">
      <c r="A35" s="20">
        <v>-2</v>
      </c>
      <c r="B35" s="394">
        <f>A17</f>
        <v>0</v>
      </c>
      <c r="C35" s="395"/>
      <c r="D35" s="395"/>
      <c r="E35" s="395"/>
      <c r="F35" s="396"/>
      <c r="G35" s="394"/>
      <c r="H35" s="396"/>
      <c r="I35" s="394"/>
      <c r="J35" s="395"/>
      <c r="K35" s="396"/>
    </row>
    <row r="36" spans="1:11" ht="27.75" customHeight="1">
      <c r="A36" s="16"/>
      <c r="B36" s="394" t="s">
        <v>676</v>
      </c>
      <c r="C36" s="395"/>
      <c r="D36" s="395"/>
      <c r="E36" s="395"/>
      <c r="F36" s="396"/>
      <c r="G36" s="398">
        <f>F17</f>
        <v>0</v>
      </c>
      <c r="H36" s="396"/>
      <c r="I36" s="394">
        <f>D17</f>
        <v>0</v>
      </c>
      <c r="J36" s="395"/>
      <c r="K36" s="396"/>
    </row>
    <row r="37" spans="1:11" ht="21.75" customHeight="1">
      <c r="A37" s="16"/>
      <c r="B37" s="394"/>
      <c r="C37" s="395"/>
      <c r="D37" s="395"/>
      <c r="E37" s="395"/>
      <c r="F37" s="396"/>
      <c r="G37" s="394"/>
      <c r="H37" s="396"/>
      <c r="I37" s="394"/>
      <c r="J37" s="395"/>
      <c r="K37" s="396"/>
    </row>
    <row r="38" spans="1:11" ht="12.9" customHeight="1">
      <c r="A38" s="21"/>
      <c r="B38" s="397"/>
      <c r="C38" s="387"/>
      <c r="D38" s="387"/>
      <c r="E38" s="387"/>
      <c r="F38" s="388"/>
      <c r="G38" s="397"/>
      <c r="H38" s="388"/>
      <c r="I38" s="397"/>
      <c r="J38" s="387"/>
      <c r="K38" s="388"/>
    </row>
    <row r="39" spans="1:11" ht="35.25" customHeight="1">
      <c r="A39" s="380" t="s">
        <v>75</v>
      </c>
      <c r="B39" s="381"/>
      <c r="C39" s="381"/>
      <c r="D39" s="381"/>
      <c r="E39" s="381"/>
      <c r="F39" s="381"/>
      <c r="G39" s="381"/>
      <c r="H39" s="381"/>
      <c r="I39" s="381"/>
      <c r="J39" s="381"/>
      <c r="K39" s="382"/>
    </row>
    <row r="40" spans="1:11" ht="36" customHeight="1">
      <c r="A40" s="383" t="s">
        <v>76</v>
      </c>
      <c r="B40" s="384"/>
      <c r="C40" s="384"/>
      <c r="D40" s="384"/>
      <c r="E40" s="384"/>
      <c r="F40" s="384"/>
      <c r="G40" s="384"/>
      <c r="H40" s="384"/>
      <c r="I40" s="384"/>
      <c r="J40" s="384"/>
      <c r="K40" s="385"/>
    </row>
    <row r="41" spans="1:11" ht="27" customHeight="1">
      <c r="A41" s="386" t="s">
        <v>77</v>
      </c>
      <c r="B41" s="387"/>
      <c r="C41" s="387"/>
      <c r="D41" s="388"/>
      <c r="E41" s="389" t="s">
        <v>61</v>
      </c>
      <c r="F41" s="390"/>
      <c r="G41" s="390"/>
      <c r="H41" s="390"/>
      <c r="I41" s="391"/>
      <c r="J41" s="389" t="s">
        <v>78</v>
      </c>
      <c r="K41" s="392"/>
    </row>
    <row r="42" spans="1:11" ht="22.5" customHeight="1">
      <c r="A42" s="393" t="str">
        <f>B32</f>
        <v xml:space="preserve"> </v>
      </c>
      <c r="B42" s="393"/>
      <c r="C42" s="393"/>
      <c r="D42" s="393"/>
      <c r="E42" s="441" t="str">
        <f>G32</f>
        <v xml:space="preserve"> </v>
      </c>
      <c r="F42" s="442"/>
      <c r="G42" s="442"/>
      <c r="H42" s="442"/>
      <c r="I42" s="443"/>
      <c r="J42" s="447">
        <f>I32</f>
        <v>0</v>
      </c>
      <c r="K42" s="448"/>
    </row>
    <row r="43" spans="1:11" ht="49.5" customHeight="1">
      <c r="A43" s="407">
        <f>B33</f>
        <v>0</v>
      </c>
      <c r="B43" s="408"/>
      <c r="C43" s="408"/>
      <c r="D43" s="409"/>
      <c r="E43" s="444"/>
      <c r="F43" s="445"/>
      <c r="G43" s="445"/>
      <c r="H43" s="445"/>
      <c r="I43" s="446"/>
      <c r="J43" s="449"/>
      <c r="K43" s="450"/>
    </row>
    <row r="44" spans="1:11" ht="27.75" customHeight="1">
      <c r="A44" s="440">
        <f>B35</f>
        <v>0</v>
      </c>
      <c r="B44" s="440"/>
      <c r="C44" s="440"/>
      <c r="D44" s="440"/>
      <c r="E44" s="451">
        <f>G35</f>
        <v>0</v>
      </c>
      <c r="F44" s="452"/>
      <c r="G44" s="452"/>
      <c r="H44" s="452"/>
      <c r="I44" s="453"/>
      <c r="J44" s="451">
        <f>I35</f>
        <v>0</v>
      </c>
      <c r="K44" s="453"/>
    </row>
    <row r="45" spans="1:11" ht="60.75" customHeight="1">
      <c r="A45" s="440" t="str">
        <f>B36</f>
        <v>dunnasandra guthalahonase ramanagar karnataka 562121</v>
      </c>
      <c r="B45" s="440"/>
      <c r="C45" s="440"/>
      <c r="D45" s="440"/>
      <c r="E45" s="454"/>
      <c r="F45" s="455"/>
      <c r="G45" s="455"/>
      <c r="H45" s="455"/>
      <c r="I45" s="456"/>
      <c r="J45" s="454"/>
      <c r="K45" s="456"/>
    </row>
    <row r="46" spans="1:11" ht="23.25" customHeight="1">
      <c r="A46" s="22" t="s">
        <v>79</v>
      </c>
      <c r="B46" s="367"/>
      <c r="C46" s="367"/>
      <c r="D46" s="367"/>
      <c r="J46" s="368" t="s">
        <v>80</v>
      </c>
      <c r="K46" s="369"/>
    </row>
    <row r="47" spans="1:11" ht="41.25" customHeight="1">
      <c r="A47" s="367"/>
      <c r="B47" s="367"/>
      <c r="C47" s="367"/>
      <c r="D47" s="367"/>
      <c r="E47" s="367"/>
      <c r="F47" s="367"/>
      <c r="G47" s="367"/>
      <c r="H47" s="367"/>
      <c r="I47" s="372"/>
      <c r="J47" s="370"/>
      <c r="K47" s="371"/>
    </row>
    <row r="48" spans="1:11" ht="11.15" customHeight="1">
      <c r="A48" s="23"/>
    </row>
    <row r="49" spans="1:11" ht="11.15" customHeight="1">
      <c r="A49" s="373" t="s">
        <v>81</v>
      </c>
      <c r="B49" s="373"/>
      <c r="C49" s="373"/>
      <c r="D49" s="373"/>
      <c r="E49" s="373"/>
      <c r="F49" s="373"/>
      <c r="G49" s="373"/>
      <c r="H49" s="373"/>
      <c r="I49" s="373"/>
      <c r="J49" s="373"/>
      <c r="K49" s="373"/>
    </row>
    <row r="50" spans="1:11" ht="17.25" customHeight="1">
      <c r="A50" s="374" t="s">
        <v>82</v>
      </c>
      <c r="B50" s="374"/>
      <c r="C50" s="374"/>
      <c r="D50" s="374"/>
      <c r="E50" s="374"/>
      <c r="F50" s="374"/>
      <c r="G50" s="374"/>
      <c r="H50" s="374"/>
      <c r="I50" s="374"/>
      <c r="J50" s="374"/>
      <c r="K50" s="374"/>
    </row>
    <row r="51" spans="1:11" ht="18.75" customHeight="1">
      <c r="A51" s="375" t="str">
        <f>HRIS!B4</f>
        <v xml:space="preserve">  </v>
      </c>
      <c r="B51" s="376"/>
      <c r="C51" s="376"/>
      <c r="D51" s="377" t="s">
        <v>83</v>
      </c>
      <c r="E51" s="378"/>
      <c r="F51" s="378"/>
      <c r="G51" s="378"/>
      <c r="H51" s="378"/>
      <c r="I51" s="378"/>
      <c r="J51" s="378"/>
      <c r="K51" s="378"/>
    </row>
    <row r="52" spans="1:11" ht="17.25" customHeight="1">
      <c r="A52" s="357" t="s">
        <v>84</v>
      </c>
      <c r="B52" s="357"/>
      <c r="C52" s="357"/>
      <c r="D52" s="357"/>
      <c r="E52" s="357"/>
      <c r="F52" s="357"/>
      <c r="G52" s="357"/>
      <c r="H52" s="357"/>
      <c r="I52" s="357"/>
      <c r="J52" s="357"/>
      <c r="K52" s="357"/>
    </row>
    <row r="53" spans="1:11" ht="18" customHeight="1"/>
    <row r="54" spans="1:11" ht="21.75" customHeight="1">
      <c r="A54" s="10" t="s">
        <v>85</v>
      </c>
      <c r="G54" s="358" t="s">
        <v>86</v>
      </c>
      <c r="H54" s="359"/>
      <c r="I54" s="359"/>
      <c r="J54" s="359"/>
      <c r="K54" s="360"/>
    </row>
    <row r="55" spans="1:11" ht="21.75" customHeight="1">
      <c r="G55" s="361"/>
      <c r="H55" s="362"/>
      <c r="I55" s="362"/>
      <c r="J55" s="362"/>
      <c r="K55" s="363"/>
    </row>
    <row r="56" spans="1:11" ht="31.5" customHeight="1">
      <c r="G56" s="364"/>
      <c r="H56" s="365"/>
      <c r="I56" s="365"/>
      <c r="J56" s="365"/>
      <c r="K56" s="366"/>
    </row>
    <row r="57" spans="1:11" ht="21.75" customHeight="1">
      <c r="A57" s="23" t="s">
        <v>87</v>
      </c>
    </row>
    <row r="58" spans="1:11" ht="23.25" customHeight="1">
      <c r="A58" s="379"/>
      <c r="B58" s="379"/>
      <c r="C58" s="379"/>
      <c r="D58" s="379"/>
      <c r="G58" s="23" t="s">
        <v>88</v>
      </c>
      <c r="H58" s="367"/>
      <c r="I58" s="367"/>
      <c r="J58" s="367"/>
      <c r="K58" s="367"/>
    </row>
    <row r="59" spans="1:11" ht="31.5" customHeight="1">
      <c r="A59" s="379"/>
      <c r="B59" s="379"/>
      <c r="C59" s="379"/>
      <c r="D59" s="379"/>
      <c r="G59" s="23" t="s">
        <v>89</v>
      </c>
      <c r="H59" s="367"/>
      <c r="I59" s="367"/>
      <c r="J59" s="367"/>
      <c r="K59" s="367"/>
    </row>
    <row r="60" spans="1:11" ht="11.15" customHeight="1">
      <c r="A60" s="23"/>
    </row>
    <row r="61" spans="1:11" ht="11.15" customHeight="1">
      <c r="A61" s="23"/>
    </row>
  </sheetData>
  <mergeCells count="110">
    <mergeCell ref="A45:D45"/>
    <mergeCell ref="A43:D43"/>
    <mergeCell ref="A44:D44"/>
    <mergeCell ref="E42:I43"/>
    <mergeCell ref="J42:K43"/>
    <mergeCell ref="E44:I45"/>
    <mergeCell ref="J44:K45"/>
    <mergeCell ref="A11:C11"/>
    <mergeCell ref="D11:K11"/>
    <mergeCell ref="A12:K12"/>
    <mergeCell ref="C16:C18"/>
    <mergeCell ref="A18:B18"/>
    <mergeCell ref="D18:E18"/>
    <mergeCell ref="F18:G18"/>
    <mergeCell ref="H18:J18"/>
    <mergeCell ref="A19:B19"/>
    <mergeCell ref="D19:E19"/>
    <mergeCell ref="F19:G19"/>
    <mergeCell ref="H19:J19"/>
    <mergeCell ref="A16:B16"/>
    <mergeCell ref="D16:E16"/>
    <mergeCell ref="F16:G16"/>
    <mergeCell ref="H16:J16"/>
    <mergeCell ref="A17:B17"/>
    <mergeCell ref="A7:C7"/>
    <mergeCell ref="D7:K7"/>
    <mergeCell ref="A8:C8"/>
    <mergeCell ref="D8:K8"/>
    <mergeCell ref="A2:K2"/>
    <mergeCell ref="A3:K3"/>
    <mergeCell ref="A4:K4"/>
    <mergeCell ref="A5:K5"/>
    <mergeCell ref="A6:C6"/>
    <mergeCell ref="D6:K6"/>
    <mergeCell ref="A9:C9"/>
    <mergeCell ref="D9:K9"/>
    <mergeCell ref="G10:K10"/>
    <mergeCell ref="A13:K13"/>
    <mergeCell ref="A14:B14"/>
    <mergeCell ref="D14:E14"/>
    <mergeCell ref="F14:G14"/>
    <mergeCell ref="H14:J14"/>
    <mergeCell ref="A15:B15"/>
    <mergeCell ref="D15:E15"/>
    <mergeCell ref="F15:G15"/>
    <mergeCell ref="H15:J15"/>
    <mergeCell ref="D17:E17"/>
    <mergeCell ref="F17:G17"/>
    <mergeCell ref="H17:J17"/>
    <mergeCell ref="A22:B22"/>
    <mergeCell ref="D22:E22"/>
    <mergeCell ref="F22:G22"/>
    <mergeCell ref="H22:J22"/>
    <mergeCell ref="A23:K23"/>
    <mergeCell ref="I24:K26"/>
    <mergeCell ref="A20:B20"/>
    <mergeCell ref="D20:E20"/>
    <mergeCell ref="F20:G20"/>
    <mergeCell ref="H20:J20"/>
    <mergeCell ref="A21:B21"/>
    <mergeCell ref="D21:E21"/>
    <mergeCell ref="F21:G21"/>
    <mergeCell ref="H21:J21"/>
    <mergeCell ref="B31:F31"/>
    <mergeCell ref="G31:H31"/>
    <mergeCell ref="I31:K31"/>
    <mergeCell ref="B32:F32"/>
    <mergeCell ref="G32:H32"/>
    <mergeCell ref="I32:K32"/>
    <mergeCell ref="A27:K27"/>
    <mergeCell ref="A28:K28"/>
    <mergeCell ref="A29:K29"/>
    <mergeCell ref="B30:F30"/>
    <mergeCell ref="G30:H30"/>
    <mergeCell ref="I30:K30"/>
    <mergeCell ref="B35:F35"/>
    <mergeCell ref="G35:H35"/>
    <mergeCell ref="I35:K35"/>
    <mergeCell ref="B36:F36"/>
    <mergeCell ref="G36:H36"/>
    <mergeCell ref="I36:K36"/>
    <mergeCell ref="G33:H33"/>
    <mergeCell ref="I33:K33"/>
    <mergeCell ref="G34:H34"/>
    <mergeCell ref="I34:K34"/>
    <mergeCell ref="B33:F34"/>
    <mergeCell ref="A39:K39"/>
    <mergeCell ref="A40:K40"/>
    <mergeCell ref="A41:D41"/>
    <mergeCell ref="E41:I41"/>
    <mergeCell ref="J41:K41"/>
    <mergeCell ref="A42:D42"/>
    <mergeCell ref="B37:F37"/>
    <mergeCell ref="G37:H37"/>
    <mergeCell ref="I37:K37"/>
    <mergeCell ref="B38:F38"/>
    <mergeCell ref="G38:H38"/>
    <mergeCell ref="I38:K38"/>
    <mergeCell ref="A52:K52"/>
    <mergeCell ref="G54:K56"/>
    <mergeCell ref="H58:K58"/>
    <mergeCell ref="H59:K59"/>
    <mergeCell ref="B46:D46"/>
    <mergeCell ref="J46:K47"/>
    <mergeCell ref="A47:I47"/>
    <mergeCell ref="A49:K49"/>
    <mergeCell ref="A50:K50"/>
    <mergeCell ref="A51:C51"/>
    <mergeCell ref="D51:K51"/>
    <mergeCell ref="A58:D59"/>
  </mergeCells>
  <pageMargins left="0.7" right="0.7" top="0.75" bottom="0.75" header="0.3" footer="0.3"/>
  <pageSetup scale="87" orientation="portrait" r:id="rId1"/>
  <rowBreaks count="1" manualBreakCount="1">
    <brk id="26"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O35"/>
  <sheetViews>
    <sheetView showGridLines="0" showZeros="0" view="pageBreakPreview" zoomScale="55" zoomScaleSheetLayoutView="55" workbookViewId="0">
      <selection activeCell="E23" sqref="E23"/>
    </sheetView>
  </sheetViews>
  <sheetFormatPr defaultColWidth="11.453125" defaultRowHeight="14.5"/>
  <cols>
    <col min="1" max="1" width="3.6328125" customWidth="1"/>
    <col min="2" max="2" width="46.08984375" customWidth="1"/>
    <col min="3" max="3" width="51.90625" customWidth="1"/>
    <col min="4" max="4" width="22.08984375" customWidth="1"/>
    <col min="5" max="5" width="24.54296875" customWidth="1"/>
    <col min="6" max="6" width="21.90625" customWidth="1"/>
    <col min="7" max="7" width="31.36328125" customWidth="1"/>
  </cols>
  <sheetData>
    <row r="2" spans="1:9" ht="39.9" customHeight="1">
      <c r="A2" s="52"/>
      <c r="B2" s="473" t="s">
        <v>235</v>
      </c>
      <c r="C2" s="473"/>
      <c r="D2" s="473"/>
      <c r="E2" s="473"/>
      <c r="F2" s="473"/>
      <c r="G2" s="473"/>
    </row>
    <row r="3" spans="1:9" ht="39.9" customHeight="1">
      <c r="A3" s="52"/>
      <c r="B3" s="473" t="s">
        <v>236</v>
      </c>
      <c r="C3" s="473"/>
      <c r="D3" s="473"/>
      <c r="E3" s="473"/>
      <c r="F3" s="473"/>
      <c r="G3" s="473"/>
    </row>
    <row r="4" spans="1:9" ht="39.9" customHeight="1">
      <c r="A4" s="52"/>
      <c r="B4" s="473" t="s">
        <v>237</v>
      </c>
      <c r="C4" s="473"/>
      <c r="D4" s="473"/>
      <c r="E4" s="473"/>
      <c r="F4" s="473"/>
      <c r="G4" s="473"/>
    </row>
    <row r="5" spans="1:9" ht="28.5">
      <c r="A5" s="52"/>
      <c r="B5" s="52"/>
      <c r="C5" s="52"/>
      <c r="D5" s="52"/>
      <c r="E5" s="52"/>
      <c r="F5" s="52"/>
      <c r="G5" s="52"/>
    </row>
    <row r="6" spans="1:9" ht="39.9" customHeight="1">
      <c r="A6" s="53">
        <v>1</v>
      </c>
      <c r="B6" s="52" t="s">
        <v>238</v>
      </c>
      <c r="C6" s="52"/>
      <c r="D6" s="465" t="str">
        <f>HRIS!B4</f>
        <v xml:space="preserve">  </v>
      </c>
      <c r="E6" s="465"/>
      <c r="F6" s="465"/>
      <c r="G6" s="465"/>
    </row>
    <row r="7" spans="1:9" ht="39.9" customHeight="1">
      <c r="A7" s="53">
        <v>2</v>
      </c>
      <c r="B7" s="52" t="s">
        <v>239</v>
      </c>
      <c r="C7" s="52"/>
      <c r="D7" s="465">
        <f>HRIS!B6</f>
        <v>0</v>
      </c>
      <c r="E7" s="465"/>
      <c r="F7" s="465"/>
      <c r="G7" s="465"/>
    </row>
    <row r="8" spans="1:9" ht="39.9" customHeight="1">
      <c r="A8" s="53">
        <v>3</v>
      </c>
      <c r="B8" s="52" t="s">
        <v>2</v>
      </c>
      <c r="C8" s="52"/>
      <c r="D8" s="474">
        <f>HRIS!B10</f>
        <v>0</v>
      </c>
      <c r="E8" s="474"/>
      <c r="F8" s="474"/>
      <c r="G8" s="474"/>
    </row>
    <row r="9" spans="1:9" ht="39.9" customHeight="1">
      <c r="A9" s="53">
        <v>4</v>
      </c>
      <c r="B9" s="52" t="s">
        <v>34</v>
      </c>
      <c r="C9" s="52"/>
      <c r="D9" s="465">
        <f>HRIS!E10</f>
        <v>0</v>
      </c>
      <c r="E9" s="465"/>
      <c r="F9" s="465"/>
      <c r="G9" s="465"/>
    </row>
    <row r="10" spans="1:9" ht="39.9" customHeight="1">
      <c r="A10" s="53">
        <v>5</v>
      </c>
      <c r="B10" s="52" t="s">
        <v>5</v>
      </c>
      <c r="C10" s="52"/>
      <c r="D10" s="465">
        <f>HRIS!B16</f>
        <v>0</v>
      </c>
      <c r="E10" s="465"/>
      <c r="F10" s="465"/>
      <c r="G10" s="465"/>
    </row>
    <row r="11" spans="1:9" ht="39.9" customHeight="1">
      <c r="A11" s="53">
        <v>6</v>
      </c>
      <c r="B11" s="52" t="s">
        <v>36</v>
      </c>
      <c r="C11" s="52"/>
      <c r="D11" s="475"/>
      <c r="E11" s="475"/>
      <c r="F11" s="475"/>
      <c r="G11" s="475"/>
    </row>
    <row r="12" spans="1:9" ht="53.25" customHeight="1">
      <c r="A12" s="52"/>
      <c r="B12" s="52" t="s">
        <v>240</v>
      </c>
      <c r="C12" s="465" t="str">
        <f>HRIS!D23</f>
        <v xml:space="preserve">, , , , </v>
      </c>
      <c r="D12" s="465"/>
      <c r="E12" s="465"/>
      <c r="F12" s="465"/>
      <c r="G12" s="465"/>
    </row>
    <row r="13" spans="1:9" ht="68.25" customHeight="1">
      <c r="A13" s="52"/>
      <c r="B13" s="52" t="s">
        <v>241</v>
      </c>
      <c r="C13" s="465" t="str">
        <f>'Data entry sheet'!C28</f>
        <v xml:space="preserve">, , , </v>
      </c>
      <c r="D13" s="465"/>
      <c r="E13" s="465"/>
      <c r="F13" s="465"/>
      <c r="G13" s="465"/>
    </row>
    <row r="14" spans="1:9" ht="93" customHeight="1">
      <c r="A14" s="472" t="s">
        <v>308</v>
      </c>
      <c r="B14" s="472"/>
      <c r="C14" s="472"/>
      <c r="D14" s="472"/>
      <c r="E14" s="472"/>
      <c r="F14" s="472"/>
      <c r="G14" s="472"/>
    </row>
    <row r="15" spans="1:9" ht="276" customHeight="1">
      <c r="A15" s="462" t="s">
        <v>242</v>
      </c>
      <c r="B15" s="462"/>
      <c r="C15" s="54" t="s">
        <v>36</v>
      </c>
      <c r="D15" s="54" t="s">
        <v>243</v>
      </c>
      <c r="E15" s="54" t="s">
        <v>2</v>
      </c>
      <c r="F15" s="54" t="s">
        <v>244</v>
      </c>
      <c r="G15" s="54" t="s">
        <v>245</v>
      </c>
    </row>
    <row r="16" spans="1:9" ht="39.9" customHeight="1">
      <c r="A16" s="463" t="s">
        <v>246</v>
      </c>
      <c r="B16" s="464"/>
      <c r="C16" s="55" t="s">
        <v>247</v>
      </c>
      <c r="D16" s="55" t="s">
        <v>248</v>
      </c>
      <c r="E16" s="55" t="s">
        <v>249</v>
      </c>
      <c r="F16" s="55" t="s">
        <v>250</v>
      </c>
      <c r="G16" s="55" t="s">
        <v>251</v>
      </c>
      <c r="H16" s="56"/>
      <c r="I16" s="56"/>
    </row>
    <row r="17" spans="1:15" ht="39.9" customHeight="1">
      <c r="A17" s="465" t="str">
        <f>HRIS!A59</f>
        <v xml:space="preserve"> </v>
      </c>
      <c r="B17" s="465"/>
      <c r="C17" s="467">
        <f>HRIS!F59</f>
        <v>0</v>
      </c>
      <c r="D17" s="57">
        <f>HRIS!B59</f>
        <v>0</v>
      </c>
      <c r="E17" s="210" t="str">
        <f>HRIS!E59</f>
        <v xml:space="preserve"> </v>
      </c>
      <c r="F17" s="266">
        <f>HRIS!C59</f>
        <v>0</v>
      </c>
      <c r="G17" s="57">
        <f>HRIS!D59</f>
        <v>0</v>
      </c>
    </row>
    <row r="18" spans="1:15" ht="39.9" customHeight="1">
      <c r="A18" s="465">
        <f>HRIS!A60</f>
        <v>0</v>
      </c>
      <c r="B18" s="465"/>
      <c r="C18" s="468"/>
      <c r="D18" s="57">
        <f>HRIS!B60</f>
        <v>0</v>
      </c>
      <c r="E18" s="57">
        <f>HRIS!E60</f>
        <v>0</v>
      </c>
      <c r="F18" s="266">
        <f>HRIS!C60</f>
        <v>0</v>
      </c>
      <c r="G18" s="57">
        <f>HRIS!D60</f>
        <v>0</v>
      </c>
    </row>
    <row r="19" spans="1:15" ht="39.9" customHeight="1">
      <c r="A19" s="465"/>
      <c r="B19" s="465"/>
      <c r="C19" s="469"/>
      <c r="D19" s="57"/>
      <c r="E19" s="57"/>
      <c r="F19" s="57"/>
      <c r="G19" s="57"/>
    </row>
    <row r="20" spans="1:15" ht="39.9" customHeight="1">
      <c r="A20" s="52"/>
      <c r="B20" s="52"/>
      <c r="C20" s="52"/>
      <c r="D20" s="52"/>
      <c r="E20" s="52"/>
      <c r="F20" s="52"/>
      <c r="G20" s="52"/>
    </row>
    <row r="21" spans="1:15" ht="39.75" customHeight="1">
      <c r="A21" s="470" t="s">
        <v>252</v>
      </c>
      <c r="B21" s="470"/>
      <c r="C21" s="470"/>
      <c r="D21" s="470"/>
      <c r="E21" s="470"/>
      <c r="F21" s="470"/>
      <c r="G21" s="470"/>
    </row>
    <row r="22" spans="1:15" ht="39.9" customHeight="1">
      <c r="A22" s="471" t="s">
        <v>253</v>
      </c>
      <c r="B22" s="471"/>
      <c r="C22" s="471"/>
      <c r="D22" s="471"/>
      <c r="E22" s="471"/>
      <c r="F22" s="471"/>
      <c r="G22" s="471"/>
    </row>
    <row r="23" spans="1:15" ht="32.25" customHeight="1">
      <c r="A23" s="52"/>
      <c r="B23" s="294" t="s">
        <v>254</v>
      </c>
      <c r="C23" s="294"/>
      <c r="D23" s="294"/>
      <c r="E23" s="335"/>
      <c r="F23" s="294"/>
      <c r="G23" s="294"/>
    </row>
    <row r="24" spans="1:15" ht="36.75" customHeight="1">
      <c r="A24" s="52"/>
      <c r="B24" s="294"/>
      <c r="C24" s="294"/>
      <c r="D24" s="470" t="s">
        <v>307</v>
      </c>
      <c r="E24" s="470"/>
      <c r="F24" s="470"/>
      <c r="G24" s="470"/>
    </row>
    <row r="25" spans="1:15" ht="39.9" customHeight="1">
      <c r="A25" s="52"/>
      <c r="B25" s="52"/>
      <c r="C25" s="52"/>
      <c r="D25" s="52"/>
      <c r="E25" s="52"/>
      <c r="F25" s="52"/>
      <c r="G25" s="52"/>
    </row>
    <row r="26" spans="1:15" ht="39.9" customHeight="1">
      <c r="A26" s="52"/>
      <c r="B26" s="466" t="s">
        <v>255</v>
      </c>
      <c r="C26" s="466"/>
      <c r="D26" s="466"/>
      <c r="E26" s="466"/>
      <c r="F26" s="466"/>
      <c r="G26" s="466"/>
    </row>
    <row r="27" spans="1:15" ht="38.25" customHeight="1">
      <c r="A27" s="52"/>
      <c r="B27" s="458" t="s">
        <v>256</v>
      </c>
      <c r="C27" s="458"/>
      <c r="D27" s="458"/>
      <c r="E27" s="458"/>
      <c r="F27" s="458"/>
      <c r="G27" s="458"/>
    </row>
    <row r="28" spans="1:15" ht="66.75" customHeight="1">
      <c r="A28" s="52"/>
      <c r="B28" s="459" t="str">
        <f>HRIS!B4&amp;" " &amp;L28</f>
        <v xml:space="preserve">   employed in my establishment after he/she has read the entry / entries have been read over to him/her by me and got confirmed by him/her.</v>
      </c>
      <c r="C28" s="459"/>
      <c r="D28" s="459"/>
      <c r="E28" s="459"/>
      <c r="F28" s="459"/>
      <c r="G28" s="459"/>
      <c r="K28" s="107"/>
      <c r="L28" s="108" t="s">
        <v>312</v>
      </c>
      <c r="M28" s="107"/>
      <c r="N28" s="107"/>
      <c r="O28" s="107"/>
    </row>
    <row r="29" spans="1:15" ht="51" customHeight="1">
      <c r="A29" s="52"/>
      <c r="B29" s="52"/>
      <c r="C29" s="52"/>
      <c r="D29" s="52"/>
      <c r="E29" s="52"/>
      <c r="F29" s="52"/>
      <c r="G29" s="52"/>
      <c r="K29" s="107"/>
      <c r="L29" s="107"/>
      <c r="M29" s="107"/>
      <c r="N29" s="107"/>
      <c r="O29" s="107"/>
    </row>
    <row r="30" spans="1:15" ht="58.5" customHeight="1">
      <c r="A30" s="52"/>
      <c r="B30" s="52"/>
      <c r="C30" s="52"/>
      <c r="D30" s="52"/>
      <c r="E30" s="52"/>
      <c r="F30" s="460" t="s">
        <v>257</v>
      </c>
      <c r="G30" s="460"/>
      <c r="K30" s="107"/>
      <c r="L30" s="107"/>
      <c r="M30" s="107"/>
      <c r="N30" s="107"/>
      <c r="O30" s="107"/>
    </row>
    <row r="31" spans="1:15" ht="10.5" customHeight="1">
      <c r="A31" s="52"/>
      <c r="B31" s="52"/>
      <c r="C31" s="52"/>
      <c r="D31" s="52"/>
      <c r="E31" s="52"/>
      <c r="F31" s="52"/>
      <c r="G31" s="52"/>
    </row>
    <row r="32" spans="1:15" ht="39.9" customHeight="1">
      <c r="A32" s="52"/>
      <c r="B32" s="52" t="s">
        <v>258</v>
      </c>
      <c r="C32" s="52"/>
      <c r="D32" s="52"/>
      <c r="E32" s="52"/>
      <c r="F32" s="466"/>
      <c r="G32" s="466"/>
    </row>
    <row r="33" spans="1:7" ht="21" customHeight="1">
      <c r="A33" s="52"/>
      <c r="B33" s="52"/>
      <c r="C33" s="52"/>
      <c r="D33" s="52"/>
      <c r="E33" s="52"/>
      <c r="F33" s="466"/>
      <c r="G33" s="466"/>
    </row>
    <row r="34" spans="1:7" ht="39.9" customHeight="1">
      <c r="A34" s="52"/>
      <c r="B34" s="52" t="s">
        <v>259</v>
      </c>
      <c r="C34" s="52"/>
      <c r="D34" s="52"/>
      <c r="E34" s="52"/>
      <c r="F34" s="466"/>
      <c r="G34" s="466"/>
    </row>
    <row r="35" spans="1:7" ht="56.25" customHeight="1">
      <c r="A35" s="52"/>
      <c r="B35" s="52"/>
      <c r="C35" s="52"/>
      <c r="D35" s="52"/>
      <c r="E35" s="52"/>
      <c r="F35" s="461" t="s">
        <v>260</v>
      </c>
      <c r="G35" s="461"/>
    </row>
  </sheetData>
  <mergeCells count="27">
    <mergeCell ref="A14:G14"/>
    <mergeCell ref="B2:G2"/>
    <mergeCell ref="B3:G3"/>
    <mergeCell ref="B4:G4"/>
    <mergeCell ref="D6:G6"/>
    <mergeCell ref="D7:G7"/>
    <mergeCell ref="D8:G8"/>
    <mergeCell ref="D9:G9"/>
    <mergeCell ref="D10:G10"/>
    <mergeCell ref="D11:G11"/>
    <mergeCell ref="C12:G12"/>
    <mergeCell ref="C13:G13"/>
    <mergeCell ref="B27:G27"/>
    <mergeCell ref="B28:G28"/>
    <mergeCell ref="F30:G30"/>
    <mergeCell ref="F35:G35"/>
    <mergeCell ref="A15:B15"/>
    <mergeCell ref="A16:B16"/>
    <mergeCell ref="A17:B17"/>
    <mergeCell ref="A18:B18"/>
    <mergeCell ref="A19:B19"/>
    <mergeCell ref="B26:G26"/>
    <mergeCell ref="F32:G34"/>
    <mergeCell ref="C17:C19"/>
    <mergeCell ref="D24:G24"/>
    <mergeCell ref="A21:G21"/>
    <mergeCell ref="A22:G22"/>
  </mergeCells>
  <pageMargins left="0.7" right="0.7" top="0.78740157499999996" bottom="0.78740157499999996" header="0.3" footer="0.3"/>
  <pageSetup paperSize="9" scale="4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R107"/>
  <sheetViews>
    <sheetView showGridLines="0" showZeros="0" view="pageBreakPreview" zoomScaleSheetLayoutView="100" workbookViewId="0">
      <selection activeCell="B41" sqref="B41:L41"/>
    </sheetView>
  </sheetViews>
  <sheetFormatPr defaultColWidth="8" defaultRowHeight="13"/>
  <cols>
    <col min="1" max="1" width="2.90625" style="115" customWidth="1"/>
    <col min="2" max="2" width="6.6328125" style="115" customWidth="1"/>
    <col min="3" max="3" width="11.453125" style="115" customWidth="1"/>
    <col min="4" max="4" width="31.08984375" style="115" customWidth="1"/>
    <col min="5" max="5" width="13" style="115" customWidth="1"/>
    <col min="6" max="6" width="1.08984375" style="115" customWidth="1"/>
    <col min="7" max="7" width="0.36328125" style="115" hidden="1" customWidth="1"/>
    <col min="8" max="8" width="10.90625" style="115" customWidth="1"/>
    <col min="9" max="9" width="2.90625" style="115" customWidth="1"/>
    <col min="10" max="10" width="5.90625" style="115" customWidth="1"/>
    <col min="11" max="11" width="9.90625" style="115" customWidth="1"/>
    <col min="12" max="12" width="3.36328125" style="115" customWidth="1"/>
    <col min="13" max="13" width="1.90625" style="115" customWidth="1"/>
    <col min="14" max="14" width="5.90625" style="115" customWidth="1"/>
    <col min="15" max="16384" width="8" style="115"/>
  </cols>
  <sheetData>
    <row r="1" spans="1:18" ht="14.15" customHeight="1">
      <c r="A1" s="517" t="s">
        <v>334</v>
      </c>
      <c r="B1" s="517"/>
      <c r="C1" s="517"/>
      <c r="D1" s="517"/>
      <c r="E1" s="517"/>
      <c r="F1" s="517"/>
      <c r="G1" s="517"/>
      <c r="H1" s="517"/>
      <c r="I1" s="517"/>
      <c r="J1" s="517"/>
      <c r="K1" s="517"/>
    </row>
    <row r="2" spans="1:18" ht="12" customHeight="1">
      <c r="A2" s="268"/>
      <c r="B2" s="510" t="s">
        <v>335</v>
      </c>
      <c r="C2" s="510"/>
      <c r="D2" s="510"/>
      <c r="E2" s="510"/>
      <c r="F2" s="510"/>
      <c r="G2" s="510"/>
      <c r="H2" s="510"/>
      <c r="I2" s="510"/>
      <c r="J2" s="510"/>
      <c r="K2" s="510"/>
      <c r="L2" s="510"/>
    </row>
    <row r="3" spans="1:18" ht="15" customHeight="1">
      <c r="A3" s="510" t="s">
        <v>333</v>
      </c>
      <c r="B3" s="510"/>
      <c r="C3" s="510"/>
      <c r="D3" s="510"/>
      <c r="E3" s="510"/>
      <c r="F3" s="510"/>
      <c r="G3" s="510"/>
      <c r="H3" s="510"/>
      <c r="I3" s="510"/>
      <c r="J3" s="510"/>
      <c r="K3" s="510"/>
      <c r="L3" s="510"/>
    </row>
    <row r="4" spans="1:18" ht="15" customHeight="1">
      <c r="A4" s="511" t="s">
        <v>336</v>
      </c>
      <c r="B4" s="511"/>
      <c r="C4" s="511"/>
      <c r="D4" s="511"/>
      <c r="E4" s="511"/>
      <c r="F4" s="511"/>
      <c r="G4" s="511"/>
      <c r="H4" s="511"/>
      <c r="I4" s="511"/>
      <c r="J4" s="511"/>
      <c r="K4" s="511"/>
      <c r="L4" s="511"/>
    </row>
    <row r="5" spans="1:18" ht="12" customHeight="1">
      <c r="A5" s="511" t="s">
        <v>337</v>
      </c>
      <c r="B5" s="511"/>
      <c r="C5" s="511"/>
      <c r="D5" s="511"/>
      <c r="E5" s="511"/>
      <c r="F5" s="511"/>
      <c r="G5" s="511"/>
      <c r="H5" s="511"/>
      <c r="I5" s="511"/>
      <c r="J5" s="511"/>
      <c r="K5" s="511"/>
      <c r="L5" s="511"/>
      <c r="O5" s="106"/>
    </row>
    <row r="6" spans="1:18" ht="12.75" customHeight="1">
      <c r="A6" s="511" t="s">
        <v>338</v>
      </c>
      <c r="B6" s="511"/>
      <c r="C6" s="511"/>
      <c r="D6" s="511"/>
      <c r="E6" s="511"/>
      <c r="F6" s="511"/>
      <c r="G6" s="511"/>
      <c r="H6" s="511"/>
      <c r="I6" s="511"/>
      <c r="J6" s="511"/>
      <c r="K6" s="511"/>
      <c r="L6" s="511"/>
      <c r="O6" s="106"/>
    </row>
    <row r="7" spans="1:18" ht="19.5" customHeight="1">
      <c r="A7" s="116">
        <v>1</v>
      </c>
      <c r="B7" s="490" t="s">
        <v>339</v>
      </c>
      <c r="C7" s="521"/>
      <c r="D7" s="521"/>
      <c r="E7" s="514" t="str">
        <f>HRIS!B4</f>
        <v xml:space="preserve">  </v>
      </c>
      <c r="F7" s="515"/>
      <c r="G7" s="515"/>
      <c r="H7" s="515"/>
      <c r="I7" s="515"/>
      <c r="J7" s="515"/>
      <c r="K7" s="515"/>
      <c r="L7" s="516"/>
      <c r="R7"/>
    </row>
    <row r="8" spans="1:18" ht="23.25" customHeight="1">
      <c r="A8" s="116">
        <v>2</v>
      </c>
      <c r="B8" s="524" t="s">
        <v>340</v>
      </c>
      <c r="C8" s="521"/>
      <c r="D8" s="521"/>
      <c r="E8" s="494">
        <f>HRIS!B6</f>
        <v>0</v>
      </c>
      <c r="F8" s="494"/>
      <c r="G8" s="494"/>
      <c r="H8" s="494"/>
      <c r="I8" s="494"/>
      <c r="J8" s="494"/>
      <c r="K8" s="494"/>
      <c r="L8" s="494"/>
    </row>
    <row r="9" spans="1:18" ht="13.5" customHeight="1">
      <c r="A9" s="116">
        <v>3</v>
      </c>
      <c r="B9" s="490" t="s">
        <v>341</v>
      </c>
      <c r="C9" s="521"/>
      <c r="D9" s="521"/>
      <c r="E9" s="525">
        <f>'Data entry sheet'!C12</f>
        <v>0</v>
      </c>
      <c r="F9" s="526"/>
      <c r="G9" s="526"/>
      <c r="H9" s="526"/>
      <c r="I9" s="526"/>
      <c r="J9" s="526"/>
      <c r="K9" s="526"/>
      <c r="L9" s="527"/>
    </row>
    <row r="10" spans="1:18" ht="17.25" customHeight="1">
      <c r="A10" s="116">
        <v>4</v>
      </c>
      <c r="B10" s="498" t="s">
        <v>342</v>
      </c>
      <c r="C10" s="499"/>
      <c r="D10" s="500"/>
      <c r="E10" s="514">
        <f>'Data entry sheet'!C14</f>
        <v>0</v>
      </c>
      <c r="F10" s="515"/>
      <c r="G10" s="515"/>
      <c r="H10" s="515"/>
      <c r="I10" s="515"/>
      <c r="J10" s="515"/>
      <c r="K10" s="515"/>
      <c r="L10" s="516"/>
    </row>
    <row r="11" spans="1:18" ht="15.75" customHeight="1">
      <c r="A11" s="116">
        <v>5</v>
      </c>
      <c r="B11" s="498" t="s">
        <v>343</v>
      </c>
      <c r="C11" s="499"/>
      <c r="D11" s="500"/>
      <c r="E11" s="514">
        <f>HRIS!B16</f>
        <v>0</v>
      </c>
      <c r="F11" s="515"/>
      <c r="G11" s="515"/>
      <c r="H11" s="515"/>
      <c r="I11" s="515"/>
      <c r="J11" s="515"/>
      <c r="K11" s="515"/>
      <c r="L11" s="516"/>
    </row>
    <row r="12" spans="1:18" ht="15" customHeight="1">
      <c r="A12" s="512">
        <v>6</v>
      </c>
      <c r="B12" s="498" t="s">
        <v>344</v>
      </c>
      <c r="C12" s="499"/>
      <c r="D12" s="500"/>
      <c r="E12" s="514">
        <f>HRIS!B30</f>
        <v>0</v>
      </c>
      <c r="F12" s="515"/>
      <c r="G12" s="515"/>
      <c r="H12" s="515"/>
      <c r="I12" s="515"/>
      <c r="J12" s="515"/>
      <c r="K12" s="515"/>
      <c r="L12" s="516"/>
    </row>
    <row r="13" spans="1:18" ht="16.5" customHeight="1">
      <c r="A13" s="513"/>
      <c r="B13" s="498" t="s">
        <v>345</v>
      </c>
      <c r="C13" s="499"/>
      <c r="D13" s="500"/>
      <c r="E13" s="487">
        <f>HRIS!E28</f>
        <v>0</v>
      </c>
      <c r="F13" s="488"/>
      <c r="G13" s="488"/>
      <c r="H13" s="488"/>
      <c r="I13" s="488"/>
      <c r="J13" s="488"/>
      <c r="K13" s="488"/>
      <c r="L13" s="489"/>
    </row>
    <row r="14" spans="1:18" ht="18" customHeight="1">
      <c r="A14" s="116">
        <v>7</v>
      </c>
      <c r="B14" s="498" t="s">
        <v>346</v>
      </c>
      <c r="C14" s="499"/>
      <c r="D14" s="500"/>
      <c r="E14" s="495" t="s">
        <v>348</v>
      </c>
      <c r="F14" s="496"/>
      <c r="G14" s="496"/>
      <c r="H14" s="496"/>
      <c r="I14" s="496"/>
      <c r="J14" s="496"/>
      <c r="K14" s="496"/>
      <c r="L14" s="497"/>
    </row>
    <row r="15" spans="1:18" ht="18.75" customHeight="1">
      <c r="A15" s="116">
        <v>8</v>
      </c>
      <c r="B15" s="498" t="s">
        <v>347</v>
      </c>
      <c r="C15" s="499"/>
      <c r="D15" s="500"/>
      <c r="E15" s="495" t="s">
        <v>348</v>
      </c>
      <c r="F15" s="496"/>
      <c r="G15" s="496"/>
      <c r="H15" s="496"/>
      <c r="I15" s="496"/>
      <c r="J15" s="496"/>
      <c r="K15" s="496"/>
      <c r="L15" s="497"/>
    </row>
    <row r="16" spans="1:18" ht="16.5" customHeight="1">
      <c r="A16" s="501">
        <v>9</v>
      </c>
      <c r="B16" s="504" t="s">
        <v>349</v>
      </c>
      <c r="C16" s="505"/>
      <c r="D16" s="506"/>
      <c r="E16" s="495" t="s">
        <v>348</v>
      </c>
      <c r="F16" s="496"/>
      <c r="G16" s="496"/>
      <c r="H16" s="496"/>
      <c r="I16" s="496"/>
      <c r="J16" s="496"/>
      <c r="K16" s="496"/>
      <c r="L16" s="497"/>
    </row>
    <row r="17" spans="1:13" ht="14.25" customHeight="1">
      <c r="A17" s="502"/>
      <c r="B17" s="498" t="s">
        <v>350</v>
      </c>
      <c r="C17" s="499"/>
      <c r="D17" s="500"/>
      <c r="E17" s="484">
        <f>HRIS!B64</f>
        <v>0</v>
      </c>
      <c r="F17" s="485"/>
      <c r="G17" s="485"/>
      <c r="H17" s="485"/>
      <c r="I17" s="485"/>
      <c r="J17" s="485"/>
      <c r="K17" s="485"/>
      <c r="L17" s="486"/>
      <c r="M17" s="269">
        <f>COUNTA(E17)</f>
        <v>1</v>
      </c>
    </row>
    <row r="18" spans="1:13" ht="14.25" customHeight="1">
      <c r="A18" s="502"/>
      <c r="B18" s="498" t="s">
        <v>351</v>
      </c>
      <c r="C18" s="499"/>
      <c r="D18" s="500"/>
      <c r="E18" s="487">
        <f>'Data entry sheet'!C117</f>
        <v>0</v>
      </c>
      <c r="F18" s="488"/>
      <c r="G18" s="488"/>
      <c r="H18" s="488"/>
      <c r="I18" s="488"/>
      <c r="J18" s="488"/>
      <c r="K18" s="488"/>
      <c r="L18" s="489"/>
      <c r="M18" s="269">
        <f>COUNTA(E18)</f>
        <v>1</v>
      </c>
    </row>
    <row r="19" spans="1:13" ht="13.5" customHeight="1">
      <c r="A19" s="502"/>
      <c r="B19" s="498" t="s">
        <v>352</v>
      </c>
      <c r="C19" s="499"/>
      <c r="D19" s="500"/>
      <c r="E19" s="507">
        <f>'Data entry sheet'!C119</f>
        <v>0</v>
      </c>
      <c r="F19" s="508"/>
      <c r="G19" s="508"/>
      <c r="H19" s="508"/>
      <c r="I19" s="508"/>
      <c r="J19" s="508"/>
      <c r="K19" s="508"/>
      <c r="L19" s="509"/>
    </row>
    <row r="20" spans="1:13" ht="13.5" customHeight="1">
      <c r="A20" s="502"/>
      <c r="B20" s="117" t="s">
        <v>353</v>
      </c>
      <c r="C20" s="118"/>
      <c r="D20" s="119"/>
      <c r="E20" s="484"/>
      <c r="F20" s="485"/>
      <c r="G20" s="485"/>
      <c r="H20" s="485"/>
      <c r="I20" s="485"/>
      <c r="J20" s="485"/>
      <c r="K20" s="485"/>
      <c r="L20" s="486"/>
    </row>
    <row r="21" spans="1:13" ht="12" customHeight="1">
      <c r="A21" s="503"/>
      <c r="B21" s="117" t="s">
        <v>354</v>
      </c>
      <c r="C21" s="118"/>
      <c r="D21" s="119"/>
      <c r="E21" s="484"/>
      <c r="F21" s="485"/>
      <c r="G21" s="485"/>
      <c r="H21" s="485"/>
      <c r="I21" s="485"/>
      <c r="J21" s="485"/>
      <c r="K21" s="485"/>
      <c r="L21" s="486"/>
    </row>
    <row r="22" spans="1:13" ht="15.75" customHeight="1">
      <c r="A22" s="494">
        <v>10</v>
      </c>
      <c r="B22" s="481" t="s">
        <v>355</v>
      </c>
      <c r="C22" s="482"/>
      <c r="D22" s="483"/>
      <c r="E22" s="495" t="s">
        <v>348</v>
      </c>
      <c r="F22" s="496"/>
      <c r="G22" s="496"/>
      <c r="H22" s="496"/>
      <c r="I22" s="496"/>
      <c r="J22" s="496"/>
      <c r="K22" s="496"/>
      <c r="L22" s="497"/>
    </row>
    <row r="23" spans="1:13" ht="13.5" customHeight="1">
      <c r="A23" s="494"/>
      <c r="B23" s="481" t="s">
        <v>356</v>
      </c>
      <c r="C23" s="482"/>
      <c r="D23" s="483"/>
      <c r="E23" s="484"/>
      <c r="F23" s="485"/>
      <c r="G23" s="485"/>
      <c r="H23" s="485"/>
      <c r="I23" s="485"/>
      <c r="J23" s="485"/>
      <c r="K23" s="485"/>
      <c r="L23" s="486"/>
    </row>
    <row r="24" spans="1:13" ht="15" customHeight="1">
      <c r="A24" s="494"/>
      <c r="B24" s="481" t="s">
        <v>357</v>
      </c>
      <c r="C24" s="482"/>
      <c r="D24" s="483"/>
      <c r="E24" s="484"/>
      <c r="F24" s="485"/>
      <c r="G24" s="485"/>
      <c r="H24" s="485"/>
      <c r="I24" s="485"/>
      <c r="J24" s="485"/>
      <c r="K24" s="485"/>
      <c r="L24" s="486"/>
    </row>
    <row r="25" spans="1:13" ht="15" customHeight="1">
      <c r="A25" s="494"/>
      <c r="B25" s="481" t="s">
        <v>358</v>
      </c>
      <c r="C25" s="482"/>
      <c r="D25" s="483"/>
      <c r="E25" s="484"/>
      <c r="F25" s="485"/>
      <c r="G25" s="485"/>
      <c r="H25" s="485"/>
      <c r="I25" s="485"/>
      <c r="J25" s="485"/>
      <c r="K25" s="485"/>
      <c r="L25" s="486"/>
    </row>
    <row r="26" spans="1:13" ht="18.75" customHeight="1">
      <c r="A26" s="491">
        <v>11</v>
      </c>
      <c r="B26" s="490" t="s">
        <v>359</v>
      </c>
      <c r="C26" s="490"/>
      <c r="D26" s="490"/>
      <c r="E26" s="484"/>
      <c r="F26" s="485"/>
      <c r="G26" s="485"/>
      <c r="H26" s="485"/>
      <c r="I26" s="485"/>
      <c r="J26" s="485"/>
      <c r="K26" s="485"/>
      <c r="L26" s="486"/>
    </row>
    <row r="27" spans="1:13" ht="12.75" customHeight="1">
      <c r="A27" s="492"/>
      <c r="B27" s="490" t="s">
        <v>360</v>
      </c>
      <c r="C27" s="490"/>
      <c r="D27" s="490"/>
      <c r="E27" s="484"/>
      <c r="F27" s="485"/>
      <c r="G27" s="485"/>
      <c r="H27" s="485"/>
      <c r="I27" s="485"/>
      <c r="J27" s="485"/>
      <c r="K27" s="485"/>
      <c r="L27" s="486"/>
    </row>
    <row r="28" spans="1:13" ht="16.5" customHeight="1">
      <c r="A28" s="492"/>
      <c r="B28" s="490" t="s">
        <v>361</v>
      </c>
      <c r="C28" s="490"/>
      <c r="D28" s="490"/>
      <c r="E28" s="487">
        <f>HRIS!E30</f>
        <v>0</v>
      </c>
      <c r="F28" s="488"/>
      <c r="G28" s="488"/>
      <c r="H28" s="488"/>
      <c r="I28" s="488"/>
      <c r="J28" s="488"/>
      <c r="K28" s="488"/>
      <c r="L28" s="489"/>
    </row>
    <row r="29" spans="1:13" ht="15.75" customHeight="1">
      <c r="A29" s="493"/>
      <c r="B29" s="490" t="s">
        <v>362</v>
      </c>
      <c r="C29" s="490"/>
      <c r="D29" s="490"/>
      <c r="E29" s="484">
        <f>HRIS!E20</f>
        <v>0</v>
      </c>
      <c r="F29" s="485"/>
      <c r="G29" s="485"/>
      <c r="H29" s="485"/>
      <c r="I29" s="485"/>
      <c r="J29" s="485"/>
      <c r="K29" s="485"/>
      <c r="L29" s="486"/>
    </row>
    <row r="30" spans="1:13" ht="12.75" customHeight="1">
      <c r="B30" s="479" t="s">
        <v>363</v>
      </c>
      <c r="C30" s="479"/>
      <c r="D30" s="479"/>
      <c r="E30" s="479"/>
      <c r="F30" s="479"/>
      <c r="G30" s="479"/>
      <c r="H30" s="479"/>
      <c r="I30" s="479"/>
      <c r="J30" s="479"/>
      <c r="K30" s="479"/>
      <c r="L30" s="479"/>
    </row>
    <row r="31" spans="1:13" ht="11.25" customHeight="1">
      <c r="B31" s="476" t="s">
        <v>364</v>
      </c>
      <c r="C31" s="476"/>
      <c r="D31" s="476"/>
      <c r="E31" s="476"/>
      <c r="F31" s="476"/>
      <c r="G31" s="476"/>
      <c r="H31" s="476"/>
      <c r="I31" s="476"/>
      <c r="J31" s="476"/>
      <c r="K31" s="476"/>
      <c r="L31" s="476"/>
    </row>
    <row r="32" spans="1:13" ht="14.25" customHeight="1">
      <c r="B32" s="476" t="s">
        <v>365</v>
      </c>
      <c r="C32" s="476"/>
      <c r="D32" s="476"/>
      <c r="E32" s="476"/>
      <c r="F32" s="476"/>
      <c r="G32" s="476"/>
      <c r="H32" s="476"/>
      <c r="I32" s="476"/>
      <c r="J32" s="476"/>
      <c r="K32" s="476"/>
      <c r="L32" s="476"/>
    </row>
    <row r="33" spans="2:12" ht="12.75" customHeight="1">
      <c r="B33" s="476" t="s">
        <v>366</v>
      </c>
      <c r="C33" s="476"/>
      <c r="D33" s="476"/>
      <c r="E33" s="476"/>
      <c r="F33" s="476"/>
      <c r="G33" s="476"/>
      <c r="H33" s="476"/>
      <c r="I33" s="476"/>
      <c r="J33" s="476"/>
      <c r="K33" s="476"/>
      <c r="L33" s="476"/>
    </row>
    <row r="34" spans="2:12" ht="23.25" customHeight="1">
      <c r="B34" s="477" t="s">
        <v>367</v>
      </c>
      <c r="C34" s="476"/>
      <c r="D34" s="476"/>
      <c r="E34" s="476"/>
      <c r="F34" s="476"/>
      <c r="G34" s="476"/>
      <c r="H34" s="476"/>
      <c r="I34" s="476"/>
      <c r="J34" s="476"/>
      <c r="K34" s="476"/>
      <c r="L34" s="476"/>
    </row>
    <row r="35" spans="2:12" ht="18" customHeight="1">
      <c r="B35" s="476" t="s">
        <v>368</v>
      </c>
      <c r="C35" s="476"/>
      <c r="D35" s="476"/>
      <c r="E35" s="476"/>
      <c r="F35" s="476"/>
      <c r="G35" s="476"/>
      <c r="H35" s="476"/>
      <c r="I35" s="476"/>
      <c r="J35" s="476"/>
      <c r="K35" s="476"/>
      <c r="L35" s="476"/>
    </row>
    <row r="36" spans="2:12" ht="21" hidden="1" customHeight="1">
      <c r="B36" s="120"/>
      <c r="C36" s="120"/>
      <c r="D36" s="120"/>
      <c r="E36" s="120"/>
      <c r="F36" s="120"/>
      <c r="G36" s="120"/>
      <c r="H36" s="120"/>
      <c r="I36" s="120"/>
      <c r="J36" s="120"/>
      <c r="K36" s="120"/>
      <c r="L36" s="120"/>
    </row>
    <row r="37" spans="2:12" ht="9.75" customHeight="1">
      <c r="B37" s="120" t="s">
        <v>369</v>
      </c>
      <c r="C37" s="120"/>
      <c r="D37" s="120"/>
      <c r="E37" s="120"/>
      <c r="F37" s="120"/>
      <c r="G37" s="120"/>
      <c r="H37" s="120"/>
      <c r="I37" s="120"/>
      <c r="J37" s="120" t="s">
        <v>370</v>
      </c>
      <c r="K37" s="120"/>
      <c r="L37" s="120"/>
    </row>
    <row r="38" spans="2:12" ht="12" customHeight="1">
      <c r="B38" s="120" t="s">
        <v>371</v>
      </c>
      <c r="C38" s="120"/>
      <c r="D38" s="120"/>
      <c r="E38" s="120"/>
      <c r="F38" s="120"/>
      <c r="G38" s="120"/>
      <c r="H38" s="120"/>
      <c r="I38" s="120"/>
      <c r="J38" s="120"/>
      <c r="K38" s="120"/>
      <c r="L38" s="120"/>
    </row>
    <row r="39" spans="2:12" ht="10.5" customHeight="1">
      <c r="B39" s="479" t="s">
        <v>372</v>
      </c>
      <c r="C39" s="479"/>
      <c r="D39" s="479"/>
      <c r="E39" s="479"/>
      <c r="F39" s="479"/>
      <c r="G39" s="479"/>
      <c r="H39" s="479"/>
      <c r="I39" s="479"/>
      <c r="J39" s="479"/>
      <c r="K39" s="479"/>
      <c r="L39" s="479"/>
    </row>
    <row r="40" spans="2:12" ht="11.25" customHeight="1">
      <c r="B40" s="121" t="s">
        <v>373</v>
      </c>
      <c r="C40" s="120"/>
      <c r="D40" s="120"/>
      <c r="E40" s="120"/>
      <c r="F40" s="120"/>
      <c r="G40" s="120"/>
      <c r="H40" s="120"/>
      <c r="I40" s="120"/>
      <c r="J40" s="120"/>
      <c r="K40" s="120"/>
      <c r="L40" s="120"/>
    </row>
    <row r="41" spans="2:12" ht="12.75" customHeight="1">
      <c r="B41" s="476" t="s">
        <v>374</v>
      </c>
      <c r="C41" s="476"/>
      <c r="D41" s="476"/>
      <c r="E41" s="476"/>
      <c r="F41" s="476"/>
      <c r="G41" s="476"/>
      <c r="H41" s="476"/>
      <c r="I41" s="476"/>
      <c r="J41" s="476"/>
      <c r="K41" s="476"/>
      <c r="L41" s="476"/>
    </row>
    <row r="42" spans="2:12" ht="12" customHeight="1">
      <c r="B42" s="476" t="s">
        <v>375</v>
      </c>
      <c r="C42" s="476"/>
      <c r="D42" s="476"/>
      <c r="E42" s="476"/>
      <c r="F42" s="476"/>
      <c r="G42" s="476"/>
      <c r="H42" s="476"/>
      <c r="I42" s="476"/>
      <c r="J42" s="476"/>
      <c r="K42" s="476"/>
      <c r="L42" s="476"/>
    </row>
    <row r="43" spans="2:12" ht="11.25" customHeight="1">
      <c r="B43" s="120"/>
      <c r="C43" s="476" t="s">
        <v>376</v>
      </c>
      <c r="D43" s="476"/>
      <c r="E43" s="476"/>
      <c r="F43" s="476"/>
      <c r="G43" s="476"/>
      <c r="H43" s="476"/>
      <c r="I43" s="476"/>
      <c r="J43" s="476"/>
      <c r="K43" s="476"/>
      <c r="L43" s="476"/>
    </row>
    <row r="44" spans="2:12" ht="12" customHeight="1">
      <c r="B44" s="120"/>
      <c r="C44" s="476" t="s">
        <v>377</v>
      </c>
      <c r="D44" s="476"/>
      <c r="E44" s="476"/>
      <c r="F44" s="476"/>
      <c r="G44" s="476"/>
      <c r="H44" s="476"/>
      <c r="I44" s="476"/>
      <c r="J44" s="476"/>
      <c r="K44" s="476"/>
      <c r="L44" s="476"/>
    </row>
    <row r="45" spans="2:12" ht="13.5" customHeight="1">
      <c r="B45" s="120"/>
      <c r="C45" s="480" t="s">
        <v>378</v>
      </c>
      <c r="D45" s="480"/>
      <c r="E45" s="480"/>
      <c r="F45" s="480"/>
      <c r="G45" s="480"/>
      <c r="H45" s="480"/>
      <c r="I45" s="480"/>
      <c r="J45" s="480"/>
      <c r="K45" s="480"/>
      <c r="L45" s="480"/>
    </row>
    <row r="46" spans="2:12" ht="9.75" customHeight="1">
      <c r="B46" s="120"/>
      <c r="C46" s="476" t="s">
        <v>379</v>
      </c>
      <c r="D46" s="476"/>
      <c r="E46" s="476"/>
      <c r="F46" s="476"/>
      <c r="G46" s="476"/>
      <c r="H46" s="476"/>
      <c r="I46" s="476"/>
      <c r="J46" s="476"/>
      <c r="K46" s="476"/>
      <c r="L46" s="476"/>
    </row>
    <row r="47" spans="2:12" ht="11.25" customHeight="1">
      <c r="B47" s="120"/>
      <c r="C47" s="476" t="s">
        <v>380</v>
      </c>
      <c r="D47" s="476"/>
      <c r="E47" s="476"/>
      <c r="F47" s="476"/>
      <c r="G47" s="476"/>
      <c r="H47" s="476"/>
      <c r="I47" s="476"/>
      <c r="J47" s="476"/>
      <c r="K47" s="476"/>
      <c r="L47" s="476"/>
    </row>
    <row r="48" spans="2:12" ht="12" customHeight="1">
      <c r="B48" s="120"/>
      <c r="C48" s="476" t="s">
        <v>381</v>
      </c>
      <c r="D48" s="476"/>
      <c r="E48" s="476"/>
      <c r="F48" s="476"/>
      <c r="G48" s="476"/>
      <c r="H48" s="476"/>
      <c r="I48" s="476"/>
      <c r="J48" s="476"/>
      <c r="K48" s="476"/>
      <c r="L48" s="476"/>
    </row>
    <row r="49" spans="2:12" ht="12.75" customHeight="1">
      <c r="B49" s="476" t="s">
        <v>382</v>
      </c>
      <c r="C49" s="476"/>
      <c r="D49" s="476"/>
      <c r="E49" s="476"/>
      <c r="F49" s="476"/>
      <c r="G49" s="476"/>
      <c r="H49" s="476"/>
      <c r="I49" s="476"/>
      <c r="J49" s="476"/>
      <c r="K49" s="476"/>
      <c r="L49" s="476"/>
    </row>
    <row r="50" spans="2:12" ht="21" customHeight="1">
      <c r="B50" s="120"/>
      <c r="C50" s="477" t="s">
        <v>383</v>
      </c>
      <c r="D50" s="476"/>
      <c r="E50" s="476"/>
      <c r="F50" s="476"/>
      <c r="G50" s="476"/>
      <c r="H50" s="476"/>
      <c r="I50" s="476"/>
      <c r="J50" s="476"/>
      <c r="K50" s="476"/>
      <c r="L50" s="476"/>
    </row>
    <row r="51" spans="2:12" ht="9.75" customHeight="1">
      <c r="B51" s="120"/>
      <c r="C51" s="122" t="s">
        <v>384</v>
      </c>
      <c r="D51" s="120"/>
      <c r="E51" s="120"/>
      <c r="F51" s="120"/>
      <c r="G51" s="120"/>
      <c r="H51" s="120"/>
      <c r="I51" s="120"/>
      <c r="J51" s="120"/>
      <c r="K51" s="120"/>
      <c r="L51" s="120"/>
    </row>
    <row r="52" spans="2:12" ht="22.5" customHeight="1">
      <c r="B52" s="120"/>
      <c r="C52" s="477" t="s">
        <v>385</v>
      </c>
      <c r="D52" s="477"/>
      <c r="E52" s="477"/>
      <c r="F52" s="477"/>
      <c r="G52" s="477"/>
      <c r="H52" s="477"/>
      <c r="I52" s="477"/>
      <c r="J52" s="477"/>
      <c r="K52" s="477"/>
      <c r="L52" s="477"/>
    </row>
    <row r="53" spans="2:12" ht="21.75" customHeight="1">
      <c r="B53" s="120"/>
      <c r="C53" s="477" t="s">
        <v>386</v>
      </c>
      <c r="D53" s="477"/>
      <c r="E53" s="477"/>
      <c r="F53" s="477"/>
      <c r="G53" s="477"/>
      <c r="H53" s="477"/>
      <c r="I53" s="477"/>
      <c r="J53" s="477"/>
      <c r="K53" s="477"/>
      <c r="L53" s="477"/>
    </row>
    <row r="54" spans="2:12" ht="21" customHeight="1">
      <c r="B54" s="123"/>
      <c r="C54" s="123"/>
      <c r="D54" s="123"/>
      <c r="E54" s="123"/>
      <c r="F54" s="124"/>
      <c r="G54" s="124"/>
      <c r="H54" s="122"/>
      <c r="I54" s="125"/>
      <c r="J54" s="125"/>
      <c r="K54" s="125"/>
      <c r="L54" s="125"/>
    </row>
    <row r="55" spans="2:12" ht="36.75" customHeight="1">
      <c r="B55" s="123" t="s">
        <v>369</v>
      </c>
      <c r="C55" s="123"/>
      <c r="D55" s="123"/>
      <c r="E55" s="478" t="s">
        <v>387</v>
      </c>
      <c r="F55" s="478"/>
      <c r="G55" s="478"/>
      <c r="H55" s="478"/>
      <c r="I55" s="478"/>
      <c r="J55" s="478"/>
      <c r="K55" s="478"/>
      <c r="L55" s="478"/>
    </row>
    <row r="56" spans="2:12" ht="13.5" customHeight="1">
      <c r="B56" s="122"/>
      <c r="C56" s="518" t="s">
        <v>388</v>
      </c>
      <c r="D56" s="518"/>
      <c r="E56" s="518"/>
      <c r="F56" s="518"/>
      <c r="G56" s="518"/>
      <c r="H56" s="518"/>
      <c r="I56" s="518"/>
      <c r="J56" s="518"/>
      <c r="K56" s="518"/>
      <c r="L56" s="518"/>
    </row>
    <row r="57" spans="2:12" ht="13.5" customHeight="1">
      <c r="B57" s="122"/>
      <c r="C57" s="126" t="s">
        <v>392</v>
      </c>
      <c r="D57" s="127"/>
      <c r="E57" s="127"/>
      <c r="F57" s="127"/>
      <c r="G57" s="127"/>
      <c r="H57" s="127"/>
      <c r="I57" s="127"/>
      <c r="J57" s="127"/>
      <c r="K57" s="127"/>
      <c r="L57" s="127"/>
    </row>
    <row r="58" spans="2:12" ht="115.5" customHeight="1">
      <c r="C58" s="522" t="s">
        <v>393</v>
      </c>
      <c r="D58" s="523"/>
      <c r="E58" s="523"/>
      <c r="F58" s="523"/>
      <c r="G58" s="523"/>
      <c r="H58" s="523"/>
      <c r="I58" s="523"/>
      <c r="J58" s="523"/>
      <c r="K58" s="523"/>
      <c r="L58" s="523"/>
    </row>
    <row r="59" spans="2:12" ht="108.75" customHeight="1">
      <c r="C59" s="519" t="s">
        <v>389</v>
      </c>
      <c r="D59" s="520"/>
      <c r="E59" s="520"/>
      <c r="F59" s="520"/>
      <c r="G59" s="520"/>
      <c r="H59" s="520"/>
      <c r="I59" s="520"/>
      <c r="J59" s="520"/>
      <c r="K59" s="520"/>
      <c r="L59" s="520"/>
    </row>
    <row r="60" spans="2:12" ht="10.5" customHeight="1">
      <c r="C60" s="518" t="s">
        <v>390</v>
      </c>
      <c r="D60" s="518"/>
      <c r="E60" s="518"/>
      <c r="F60" s="518"/>
      <c r="G60" s="518"/>
      <c r="H60" s="518"/>
      <c r="I60" s="518"/>
      <c r="J60" s="518"/>
      <c r="K60" s="518"/>
      <c r="L60" s="518"/>
    </row>
    <row r="61" spans="2:12" ht="120.75" customHeight="1">
      <c r="C61" s="519" t="s">
        <v>391</v>
      </c>
      <c r="D61" s="520"/>
      <c r="E61" s="520"/>
      <c r="F61" s="520"/>
      <c r="G61" s="520"/>
      <c r="H61" s="520"/>
      <c r="I61" s="520"/>
      <c r="J61" s="520"/>
      <c r="K61" s="520"/>
      <c r="L61" s="520"/>
    </row>
    <row r="62" spans="2:12" ht="44.25" customHeight="1"/>
    <row r="63" spans="2:12" ht="33" customHeight="1"/>
    <row r="64" spans="2:12" ht="39.75" customHeight="1"/>
    <row r="65" ht="19.5" customHeight="1"/>
    <row r="66" ht="20.25" customHeight="1"/>
    <row r="67" ht="25.5" customHeight="1"/>
    <row r="68" ht="18.899999999999999" customHeight="1"/>
    <row r="69" ht="30.75" customHeight="1"/>
    <row r="70" ht="13.5" customHeight="1"/>
    <row r="71" ht="15.75" customHeight="1"/>
    <row r="72" ht="44.25" customHeight="1"/>
    <row r="73" ht="11.15" customHeight="1"/>
    <row r="74" ht="11.15" customHeight="1"/>
    <row r="75" ht="33.75" customHeight="1"/>
    <row r="76" ht="29.15" customHeight="1"/>
    <row r="77" ht="12" customHeight="1"/>
    <row r="78" ht="20.25" customHeight="1"/>
    <row r="79" ht="16.5" customHeight="1"/>
    <row r="80" ht="20.25" customHeight="1"/>
    <row r="81" ht="21" customHeight="1"/>
    <row r="82" ht="21.75" customHeight="1"/>
    <row r="83" ht="21.75" customHeight="1"/>
    <row r="84" ht="12.9" customHeight="1"/>
    <row r="85" ht="35.25" customHeight="1"/>
    <row r="86" ht="36" customHeight="1"/>
    <row r="87" ht="27" customHeight="1"/>
    <row r="88" ht="22.5" customHeight="1"/>
    <row r="89" ht="49.5" customHeight="1"/>
    <row r="90" ht="27.75" customHeight="1"/>
    <row r="91" ht="60.75" customHeight="1"/>
    <row r="92" ht="23.25" customHeight="1"/>
    <row r="93" ht="41.25" customHeight="1"/>
    <row r="94" ht="11.15" customHeight="1"/>
    <row r="95" ht="11.15" customHeight="1"/>
    <row r="96" ht="17.25" customHeight="1"/>
    <row r="97" ht="18.75" customHeight="1"/>
    <row r="98" ht="17.25" customHeight="1"/>
    <row r="99" ht="18" customHeight="1"/>
    <row r="100" ht="21.75" customHeight="1"/>
    <row r="101" ht="21.75" customHeight="1"/>
    <row r="102" ht="31.5" customHeight="1"/>
    <row r="103" ht="21.75" customHeight="1"/>
    <row r="104" ht="23.25" customHeight="1"/>
    <row r="105" ht="31.5" customHeight="1"/>
    <row r="106" ht="11.15" customHeight="1"/>
    <row r="107" ht="11.15" customHeight="1"/>
  </sheetData>
  <mergeCells count="79">
    <mergeCell ref="A1:K1"/>
    <mergeCell ref="C60:L60"/>
    <mergeCell ref="C61:L61"/>
    <mergeCell ref="B7:D7"/>
    <mergeCell ref="E7:L7"/>
    <mergeCell ref="C56:L56"/>
    <mergeCell ref="C58:L58"/>
    <mergeCell ref="C59:L59"/>
    <mergeCell ref="B8:D8"/>
    <mergeCell ref="E8:L8"/>
    <mergeCell ref="B9:D9"/>
    <mergeCell ref="E9:L9"/>
    <mergeCell ref="B10:D10"/>
    <mergeCell ref="E10:L10"/>
    <mergeCell ref="B11:D11"/>
    <mergeCell ref="E11:L11"/>
    <mergeCell ref="B14:D14"/>
    <mergeCell ref="B2:L2"/>
    <mergeCell ref="A3:L3"/>
    <mergeCell ref="A4:L4"/>
    <mergeCell ref="A5:L5"/>
    <mergeCell ref="A6:L6"/>
    <mergeCell ref="A12:A13"/>
    <mergeCell ref="B12:D12"/>
    <mergeCell ref="E12:L12"/>
    <mergeCell ref="B13:D13"/>
    <mergeCell ref="E13:L13"/>
    <mergeCell ref="E14:L14"/>
    <mergeCell ref="B15:D15"/>
    <mergeCell ref="E15:L15"/>
    <mergeCell ref="A16:A21"/>
    <mergeCell ref="B16:D16"/>
    <mergeCell ref="E16:L16"/>
    <mergeCell ref="B17:D17"/>
    <mergeCell ref="E17:L17"/>
    <mergeCell ref="B18:D18"/>
    <mergeCell ref="E18:L18"/>
    <mergeCell ref="B19:D19"/>
    <mergeCell ref="E19:L19"/>
    <mergeCell ref="E20:L20"/>
    <mergeCell ref="E21:L21"/>
    <mergeCell ref="A22:A25"/>
    <mergeCell ref="B22:D22"/>
    <mergeCell ref="E22:L22"/>
    <mergeCell ref="B23:D23"/>
    <mergeCell ref="E23:L23"/>
    <mergeCell ref="A26:A29"/>
    <mergeCell ref="B26:D26"/>
    <mergeCell ref="E26:L26"/>
    <mergeCell ref="B27:D27"/>
    <mergeCell ref="E27:L27"/>
    <mergeCell ref="B28:D28"/>
    <mergeCell ref="B32:L32"/>
    <mergeCell ref="B24:D24"/>
    <mergeCell ref="E24:L24"/>
    <mergeCell ref="B25:D25"/>
    <mergeCell ref="E25:L25"/>
    <mergeCell ref="E28:L28"/>
    <mergeCell ref="B29:D29"/>
    <mergeCell ref="E29:L29"/>
    <mergeCell ref="B30:L30"/>
    <mergeCell ref="B31:L31"/>
    <mergeCell ref="C48:L48"/>
    <mergeCell ref="B33:L33"/>
    <mergeCell ref="B34:L34"/>
    <mergeCell ref="B35:L35"/>
    <mergeCell ref="B39:L39"/>
    <mergeCell ref="B41:L41"/>
    <mergeCell ref="B42:L42"/>
    <mergeCell ref="C43:L43"/>
    <mergeCell ref="C44:L44"/>
    <mergeCell ref="C45:L45"/>
    <mergeCell ref="C46:L46"/>
    <mergeCell ref="C47:L47"/>
    <mergeCell ref="B49:L49"/>
    <mergeCell ref="C50:L50"/>
    <mergeCell ref="C52:L52"/>
    <mergeCell ref="C53:L53"/>
    <mergeCell ref="E55:L55"/>
  </mergeCells>
  <pageMargins left="0.7" right="0.7" top="0.75" bottom="0.75" header="0.3" footer="0.3"/>
  <pageSetup paperSize="9" scale="88" orientation="portrait" r:id="rId1"/>
  <rowBreaks count="1" manualBreakCount="1">
    <brk id="55" max="11"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94"/>
  <sheetViews>
    <sheetView showGridLines="0" showZeros="0" view="pageBreakPreview" topLeftCell="A82" zoomScaleSheetLayoutView="100" workbookViewId="0">
      <selection activeCell="C47" sqref="C47"/>
    </sheetView>
  </sheetViews>
  <sheetFormatPr defaultRowHeight="12.5"/>
  <cols>
    <col min="1" max="1" width="20.453125" style="35" customWidth="1"/>
    <col min="2" max="2" width="22.90625" style="24" customWidth="1"/>
    <col min="3" max="4" width="20.453125" style="24" customWidth="1"/>
    <col min="5" max="256" width="9.08984375" style="24"/>
    <col min="257" max="260" width="20.453125" style="24" customWidth="1"/>
    <col min="261" max="512" width="9.08984375" style="24"/>
    <col min="513" max="516" width="20.453125" style="24" customWidth="1"/>
    <col min="517" max="768" width="9.08984375" style="24"/>
    <col min="769" max="772" width="20.453125" style="24" customWidth="1"/>
    <col min="773" max="1024" width="9.08984375" style="24"/>
    <col min="1025" max="1028" width="20.453125" style="24" customWidth="1"/>
    <col min="1029" max="1280" width="9.08984375" style="24"/>
    <col min="1281" max="1284" width="20.453125" style="24" customWidth="1"/>
    <col min="1285" max="1536" width="9.08984375" style="24"/>
    <col min="1537" max="1540" width="20.453125" style="24" customWidth="1"/>
    <col min="1541" max="1792" width="9.08984375" style="24"/>
    <col min="1793" max="1796" width="20.453125" style="24" customWidth="1"/>
    <col min="1797" max="2048" width="9.08984375" style="24"/>
    <col min="2049" max="2052" width="20.453125" style="24" customWidth="1"/>
    <col min="2053" max="2304" width="9.08984375" style="24"/>
    <col min="2305" max="2308" width="20.453125" style="24" customWidth="1"/>
    <col min="2309" max="2560" width="9.08984375" style="24"/>
    <col min="2561" max="2564" width="20.453125" style="24" customWidth="1"/>
    <col min="2565" max="2816" width="9.08984375" style="24"/>
    <col min="2817" max="2820" width="20.453125" style="24" customWidth="1"/>
    <col min="2821" max="3072" width="9.08984375" style="24"/>
    <col min="3073" max="3076" width="20.453125" style="24" customWidth="1"/>
    <col min="3077" max="3328" width="9.08984375" style="24"/>
    <col min="3329" max="3332" width="20.453125" style="24" customWidth="1"/>
    <col min="3333" max="3584" width="9.08984375" style="24"/>
    <col min="3585" max="3588" width="20.453125" style="24" customWidth="1"/>
    <col min="3589" max="3840" width="9.08984375" style="24"/>
    <col min="3841" max="3844" width="20.453125" style="24" customWidth="1"/>
    <col min="3845" max="4096" width="9.08984375" style="24"/>
    <col min="4097" max="4100" width="20.453125" style="24" customWidth="1"/>
    <col min="4101" max="4352" width="9.08984375" style="24"/>
    <col min="4353" max="4356" width="20.453125" style="24" customWidth="1"/>
    <col min="4357" max="4608" width="9.08984375" style="24"/>
    <col min="4609" max="4612" width="20.453125" style="24" customWidth="1"/>
    <col min="4613" max="4864" width="9.08984375" style="24"/>
    <col min="4865" max="4868" width="20.453125" style="24" customWidth="1"/>
    <col min="4869" max="5120" width="9.08984375" style="24"/>
    <col min="5121" max="5124" width="20.453125" style="24" customWidth="1"/>
    <col min="5125" max="5376" width="9.08984375" style="24"/>
    <col min="5377" max="5380" width="20.453125" style="24" customWidth="1"/>
    <col min="5381" max="5632" width="9.08984375" style="24"/>
    <col min="5633" max="5636" width="20.453125" style="24" customWidth="1"/>
    <col min="5637" max="5888" width="9.08984375" style="24"/>
    <col min="5889" max="5892" width="20.453125" style="24" customWidth="1"/>
    <col min="5893" max="6144" width="9.08984375" style="24"/>
    <col min="6145" max="6148" width="20.453125" style="24" customWidth="1"/>
    <col min="6149" max="6400" width="9.08984375" style="24"/>
    <col min="6401" max="6404" width="20.453125" style="24" customWidth="1"/>
    <col min="6405" max="6656" width="9.08984375" style="24"/>
    <col min="6657" max="6660" width="20.453125" style="24" customWidth="1"/>
    <col min="6661" max="6912" width="9.08984375" style="24"/>
    <col min="6913" max="6916" width="20.453125" style="24" customWidth="1"/>
    <col min="6917" max="7168" width="9.08984375" style="24"/>
    <col min="7169" max="7172" width="20.453125" style="24" customWidth="1"/>
    <col min="7173" max="7424" width="9.08984375" style="24"/>
    <col min="7425" max="7428" width="20.453125" style="24" customWidth="1"/>
    <col min="7429" max="7680" width="9.08984375" style="24"/>
    <col min="7681" max="7684" width="20.453125" style="24" customWidth="1"/>
    <col min="7685" max="7936" width="9.08984375" style="24"/>
    <col min="7937" max="7940" width="20.453125" style="24" customWidth="1"/>
    <col min="7941" max="8192" width="9.08984375" style="24"/>
    <col min="8193" max="8196" width="20.453125" style="24" customWidth="1"/>
    <col min="8197" max="8448" width="9.08984375" style="24"/>
    <col min="8449" max="8452" width="20.453125" style="24" customWidth="1"/>
    <col min="8453" max="8704" width="9.08984375" style="24"/>
    <col min="8705" max="8708" width="20.453125" style="24" customWidth="1"/>
    <col min="8709" max="8960" width="9.08984375" style="24"/>
    <col min="8961" max="8964" width="20.453125" style="24" customWidth="1"/>
    <col min="8965" max="9216" width="9.08984375" style="24"/>
    <col min="9217" max="9220" width="20.453125" style="24" customWidth="1"/>
    <col min="9221" max="9472" width="9.08984375" style="24"/>
    <col min="9473" max="9476" width="20.453125" style="24" customWidth="1"/>
    <col min="9477" max="9728" width="9.08984375" style="24"/>
    <col min="9729" max="9732" width="20.453125" style="24" customWidth="1"/>
    <col min="9733" max="9984" width="9.08984375" style="24"/>
    <col min="9985" max="9988" width="20.453125" style="24" customWidth="1"/>
    <col min="9989" max="10240" width="9.08984375" style="24"/>
    <col min="10241" max="10244" width="20.453125" style="24" customWidth="1"/>
    <col min="10245" max="10496" width="9.08984375" style="24"/>
    <col min="10497" max="10500" width="20.453125" style="24" customWidth="1"/>
    <col min="10501" max="10752" width="9.08984375" style="24"/>
    <col min="10753" max="10756" width="20.453125" style="24" customWidth="1"/>
    <col min="10757" max="11008" width="9.08984375" style="24"/>
    <col min="11009" max="11012" width="20.453125" style="24" customWidth="1"/>
    <col min="11013" max="11264" width="9.08984375" style="24"/>
    <col min="11265" max="11268" width="20.453125" style="24" customWidth="1"/>
    <col min="11269" max="11520" width="9.08984375" style="24"/>
    <col min="11521" max="11524" width="20.453125" style="24" customWidth="1"/>
    <col min="11525" max="11776" width="9.08984375" style="24"/>
    <col min="11777" max="11780" width="20.453125" style="24" customWidth="1"/>
    <col min="11781" max="12032" width="9.08984375" style="24"/>
    <col min="12033" max="12036" width="20.453125" style="24" customWidth="1"/>
    <col min="12037" max="12288" width="9.08984375" style="24"/>
    <col min="12289" max="12292" width="20.453125" style="24" customWidth="1"/>
    <col min="12293" max="12544" width="9.08984375" style="24"/>
    <col min="12545" max="12548" width="20.453125" style="24" customWidth="1"/>
    <col min="12549" max="12800" width="9.08984375" style="24"/>
    <col min="12801" max="12804" width="20.453125" style="24" customWidth="1"/>
    <col min="12805" max="13056" width="9.08984375" style="24"/>
    <col min="13057" max="13060" width="20.453125" style="24" customWidth="1"/>
    <col min="13061" max="13312" width="9.08984375" style="24"/>
    <col min="13313" max="13316" width="20.453125" style="24" customWidth="1"/>
    <col min="13317" max="13568" width="9.08984375" style="24"/>
    <col min="13569" max="13572" width="20.453125" style="24" customWidth="1"/>
    <col min="13573" max="13824" width="9.08984375" style="24"/>
    <col min="13825" max="13828" width="20.453125" style="24" customWidth="1"/>
    <col min="13829" max="14080" width="9.08984375" style="24"/>
    <col min="14081" max="14084" width="20.453125" style="24" customWidth="1"/>
    <col min="14085" max="14336" width="9.08984375" style="24"/>
    <col min="14337" max="14340" width="20.453125" style="24" customWidth="1"/>
    <col min="14341" max="14592" width="9.08984375" style="24"/>
    <col min="14593" max="14596" width="20.453125" style="24" customWidth="1"/>
    <col min="14597" max="14848" width="9.08984375" style="24"/>
    <col min="14849" max="14852" width="20.453125" style="24" customWidth="1"/>
    <col min="14853" max="15104" width="9.08984375" style="24"/>
    <col min="15105" max="15108" width="20.453125" style="24" customWidth="1"/>
    <col min="15109" max="15360" width="9.08984375" style="24"/>
    <col min="15361" max="15364" width="20.453125" style="24" customWidth="1"/>
    <col min="15365" max="15616" width="9.08984375" style="24"/>
    <col min="15617" max="15620" width="20.453125" style="24" customWidth="1"/>
    <col min="15621" max="15872" width="9.08984375" style="24"/>
    <col min="15873" max="15876" width="20.453125" style="24" customWidth="1"/>
    <col min="15877" max="16128" width="9.08984375" style="24"/>
    <col min="16129" max="16132" width="20.453125" style="24" customWidth="1"/>
    <col min="16133" max="16384" width="9.08984375" style="24"/>
  </cols>
  <sheetData>
    <row r="1" spans="1:10" ht="13">
      <c r="A1" s="533" t="s">
        <v>123</v>
      </c>
      <c r="B1" s="533"/>
      <c r="C1" s="533"/>
      <c r="D1" s="533"/>
    </row>
    <row r="2" spans="1:10" ht="13">
      <c r="A2" s="25"/>
    </row>
    <row r="3" spans="1:10" ht="13">
      <c r="A3" s="534" t="s">
        <v>124</v>
      </c>
      <c r="B3" s="534"/>
      <c r="C3" s="534"/>
      <c r="D3" s="534"/>
    </row>
    <row r="4" spans="1:10">
      <c r="A4" s="26"/>
    </row>
    <row r="5" spans="1:10" ht="13">
      <c r="A5" s="533" t="s">
        <v>125</v>
      </c>
      <c r="B5" s="533"/>
      <c r="C5" s="533"/>
      <c r="D5" s="533"/>
    </row>
    <row r="6" spans="1:10" ht="13">
      <c r="A6" s="58"/>
      <c r="B6" s="58"/>
      <c r="C6" s="58"/>
      <c r="D6" s="58"/>
    </row>
    <row r="7" spans="1:10" ht="13">
      <c r="A7" s="25" t="s">
        <v>299</v>
      </c>
    </row>
    <row r="8" spans="1:10" ht="63.75" customHeight="1">
      <c r="A8" s="535"/>
      <c r="B8" s="535"/>
      <c r="C8" s="535"/>
      <c r="D8" s="535"/>
    </row>
    <row r="9" spans="1:10" ht="13">
      <c r="A9" s="25"/>
    </row>
    <row r="10" spans="1:10" ht="16.5" customHeight="1">
      <c r="A10" s="538" t="s">
        <v>265</v>
      </c>
      <c r="B10" s="538"/>
      <c r="C10" s="538"/>
      <c r="D10" s="538"/>
    </row>
    <row r="11" spans="1:10" ht="75.75" customHeight="1">
      <c r="A11" s="536" t="str">
        <f>HRIS!B4&amp;" "&amp;Gratuity!J11</f>
        <v xml:space="preserve">   whose particulars are given 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v>
      </c>
      <c r="B11" s="536"/>
      <c r="C11" s="536"/>
      <c r="D11" s="536"/>
      <c r="J11" s="109" t="s">
        <v>266</v>
      </c>
    </row>
    <row r="12" spans="1:10">
      <c r="A12" s="26"/>
    </row>
    <row r="13" spans="1:10" ht="34.5" customHeight="1">
      <c r="A13" s="529" t="s">
        <v>126</v>
      </c>
      <c r="B13" s="530"/>
      <c r="C13" s="530"/>
      <c r="D13" s="530"/>
    </row>
    <row r="14" spans="1:10">
      <c r="A14" s="26"/>
    </row>
    <row r="15" spans="1:10" ht="39" customHeight="1">
      <c r="A15" s="529" t="s">
        <v>127</v>
      </c>
      <c r="B15" s="530"/>
      <c r="C15" s="530"/>
      <c r="D15" s="530"/>
    </row>
    <row r="16" spans="1:10">
      <c r="A16" s="26"/>
    </row>
    <row r="17" spans="1:4">
      <c r="A17" s="26" t="s">
        <v>128</v>
      </c>
    </row>
    <row r="18" spans="1:4">
      <c r="A18" s="26"/>
    </row>
    <row r="19" spans="1:4">
      <c r="A19" s="26" t="s">
        <v>129</v>
      </c>
    </row>
    <row r="20" spans="1:4">
      <c r="A20" s="26"/>
    </row>
    <row r="21" spans="1:4" ht="30" customHeight="1">
      <c r="A21" s="537" t="s">
        <v>130</v>
      </c>
      <c r="B21" s="530"/>
      <c r="C21" s="530"/>
      <c r="D21" s="530"/>
    </row>
    <row r="22" spans="1:4">
      <c r="A22" s="26"/>
    </row>
    <row r="23" spans="1:4">
      <c r="A23" s="537" t="s">
        <v>131</v>
      </c>
      <c r="B23" s="530"/>
      <c r="C23" s="530"/>
      <c r="D23" s="530"/>
    </row>
    <row r="24" spans="1:4">
      <c r="A24" s="26"/>
    </row>
    <row r="25" spans="1:4" ht="13">
      <c r="A25" s="25" t="s">
        <v>132</v>
      </c>
    </row>
    <row r="26" spans="1:4" ht="13">
      <c r="A26" s="25"/>
    </row>
    <row r="27" spans="1:4" ht="75.75" customHeight="1">
      <c r="A27" s="27" t="s">
        <v>133</v>
      </c>
      <c r="B27" s="28" t="s">
        <v>134</v>
      </c>
      <c r="C27" s="28" t="s">
        <v>135</v>
      </c>
      <c r="D27" s="29" t="s">
        <v>136</v>
      </c>
    </row>
    <row r="28" spans="1:4" ht="24.75" customHeight="1">
      <c r="A28" s="27" t="str">
        <f>HRIS!A59</f>
        <v xml:space="preserve"> </v>
      </c>
      <c r="B28" s="27">
        <f>HRIS!B59</f>
        <v>0</v>
      </c>
      <c r="C28" s="286" t="str">
        <f>HRIS!E59</f>
        <v xml:space="preserve"> </v>
      </c>
      <c r="D28" s="201">
        <f>HRIS!C59</f>
        <v>0</v>
      </c>
    </row>
    <row r="29" spans="1:4" ht="24.75" customHeight="1">
      <c r="A29" s="111">
        <f>HRIS!A60</f>
        <v>0</v>
      </c>
      <c r="B29" s="27">
        <f>HRIS!B60</f>
        <v>0</v>
      </c>
      <c r="C29" s="286">
        <f>HRIS!E60</f>
        <v>0</v>
      </c>
      <c r="D29" s="267">
        <f>HRIS!C60</f>
        <v>0</v>
      </c>
    </row>
    <row r="30" spans="1:4" ht="47.25" customHeight="1">
      <c r="A30" s="539">
        <f>HRIS!F59</f>
        <v>0</v>
      </c>
      <c r="B30" s="27"/>
      <c r="C30" s="27"/>
      <c r="D30" s="27"/>
    </row>
    <row r="31" spans="1:4" ht="47.25" customHeight="1">
      <c r="A31" s="540"/>
      <c r="B31" s="27"/>
      <c r="C31" s="27"/>
      <c r="D31" s="27"/>
    </row>
    <row r="32" spans="1:4" ht="13">
      <c r="A32" s="25"/>
    </row>
    <row r="33" spans="1:4" ht="13">
      <c r="A33" s="25"/>
    </row>
    <row r="34" spans="1:4" ht="13">
      <c r="A34" s="25"/>
    </row>
    <row r="36" spans="1:4" ht="13">
      <c r="A36" s="533" t="s">
        <v>137</v>
      </c>
      <c r="B36" s="533"/>
      <c r="C36" s="533"/>
      <c r="D36" s="533"/>
    </row>
    <row r="37" spans="1:4">
      <c r="A37" s="26" t="s">
        <v>138</v>
      </c>
      <c r="C37" s="24" t="str">
        <f>HRIS!B4</f>
        <v xml:space="preserve">  </v>
      </c>
    </row>
    <row r="38" spans="1:4">
      <c r="A38" s="26" t="s">
        <v>140</v>
      </c>
      <c r="C38" s="24">
        <f>HRIS!E10</f>
        <v>0</v>
      </c>
    </row>
    <row r="39" spans="1:4">
      <c r="A39" s="26" t="s">
        <v>141</v>
      </c>
      <c r="C39" s="24">
        <f>HRIS!B18</f>
        <v>0</v>
      </c>
    </row>
    <row r="40" spans="1:4">
      <c r="A40" s="26" t="s">
        <v>142</v>
      </c>
      <c r="C40" s="24">
        <f>HRIS!B16</f>
        <v>0</v>
      </c>
    </row>
    <row r="41" spans="1:4">
      <c r="A41" s="26" t="s">
        <v>143</v>
      </c>
      <c r="C41" s="24">
        <f>HRIS!E14</f>
        <v>0</v>
      </c>
    </row>
    <row r="42" spans="1:4">
      <c r="A42" s="26" t="s">
        <v>144</v>
      </c>
      <c r="C42" s="24" t="s">
        <v>139</v>
      </c>
    </row>
    <row r="43" spans="1:4">
      <c r="A43" s="26" t="s">
        <v>145</v>
      </c>
      <c r="C43" s="209">
        <f>HRIS!B68</f>
        <v>0</v>
      </c>
    </row>
    <row r="44" spans="1:4">
      <c r="A44" s="26" t="s">
        <v>146</v>
      </c>
      <c r="C44" s="541" t="str">
        <f>HRIS!D23</f>
        <v xml:space="preserve">, , , , </v>
      </c>
      <c r="D44" s="541"/>
    </row>
    <row r="45" spans="1:4">
      <c r="C45" s="541"/>
      <c r="D45" s="541"/>
    </row>
    <row r="46" spans="1:4" ht="43.5" customHeight="1">
      <c r="A46" s="112"/>
      <c r="B46" s="113"/>
      <c r="C46" s="541"/>
      <c r="D46" s="541"/>
    </row>
    <row r="47" spans="1:4" ht="14.5">
      <c r="A47" s="25"/>
      <c r="C47" s="335"/>
    </row>
    <row r="48" spans="1:4">
      <c r="A48" s="26"/>
    </row>
    <row r="49" spans="1:8" ht="13">
      <c r="A49" s="25"/>
    </row>
    <row r="50" spans="1:8">
      <c r="A50" s="26" t="s">
        <v>147</v>
      </c>
      <c r="C50" s="26" t="s">
        <v>148</v>
      </c>
    </row>
    <row r="51" spans="1:8">
      <c r="A51" s="26" t="s">
        <v>149</v>
      </c>
      <c r="H51" s="30"/>
    </row>
    <row r="52" spans="1:8">
      <c r="A52" s="26"/>
    </row>
    <row r="53" spans="1:8" ht="13">
      <c r="A53" s="528" t="s">
        <v>150</v>
      </c>
      <c r="B53" s="528"/>
      <c r="C53" s="528"/>
      <c r="D53" s="528"/>
    </row>
    <row r="54" spans="1:8">
      <c r="A54" s="26"/>
    </row>
    <row r="55" spans="1:8">
      <c r="A55" s="26" t="s">
        <v>151</v>
      </c>
    </row>
    <row r="56" spans="1:8">
      <c r="A56" s="26"/>
    </row>
    <row r="57" spans="1:8">
      <c r="A57" s="26" t="s">
        <v>152</v>
      </c>
      <c r="D57" s="26" t="s">
        <v>153</v>
      </c>
    </row>
    <row r="58" spans="1:8">
      <c r="A58" s="26">
        <v>1</v>
      </c>
      <c r="D58" s="26">
        <v>1</v>
      </c>
      <c r="F58" s="30"/>
    </row>
    <row r="59" spans="1:8">
      <c r="A59" s="26">
        <v>2</v>
      </c>
      <c r="D59" s="26">
        <v>2</v>
      </c>
      <c r="F59" s="30"/>
    </row>
    <row r="60" spans="1:8">
      <c r="A60" s="26"/>
    </row>
    <row r="61" spans="1:8">
      <c r="A61" s="26"/>
    </row>
    <row r="62" spans="1:8">
      <c r="A62" s="26" t="s">
        <v>147</v>
      </c>
    </row>
    <row r="63" spans="1:8">
      <c r="A63" s="26" t="s">
        <v>149</v>
      </c>
    </row>
    <row r="64" spans="1:8">
      <c r="A64" s="26"/>
    </row>
    <row r="65" spans="1:6" ht="13">
      <c r="A65" s="528" t="s">
        <v>154</v>
      </c>
      <c r="B65" s="528"/>
      <c r="C65" s="528"/>
      <c r="D65" s="528"/>
    </row>
    <row r="66" spans="1:6" ht="13">
      <c r="A66" s="31"/>
    </row>
    <row r="67" spans="1:6" ht="30" customHeight="1">
      <c r="A67" s="529" t="s">
        <v>155</v>
      </c>
      <c r="B67" s="530"/>
      <c r="C67" s="530"/>
      <c r="D67" s="530"/>
    </row>
    <row r="68" spans="1:6">
      <c r="A68" s="26"/>
    </row>
    <row r="69" spans="1:6">
      <c r="A69" s="26" t="s">
        <v>156</v>
      </c>
    </row>
    <row r="70" spans="1:6">
      <c r="A70" s="26"/>
    </row>
    <row r="71" spans="1:6">
      <c r="A71" s="26" t="s">
        <v>157</v>
      </c>
      <c r="C71" s="26" t="s">
        <v>158</v>
      </c>
    </row>
    <row r="72" spans="1:6">
      <c r="A72" s="26" t="s">
        <v>159</v>
      </c>
      <c r="C72" s="32" t="s">
        <v>160</v>
      </c>
    </row>
    <row r="73" spans="1:6" ht="26.25" customHeight="1">
      <c r="A73" s="26"/>
      <c r="C73" s="532"/>
      <c r="D73" s="532"/>
    </row>
    <row r="74" spans="1:6" ht="34.5" customHeight="1">
      <c r="A74" s="26" t="s">
        <v>161</v>
      </c>
      <c r="C74" s="532"/>
      <c r="D74" s="532"/>
    </row>
    <row r="75" spans="1:6" ht="27" customHeight="1">
      <c r="A75" s="26" t="s">
        <v>149</v>
      </c>
      <c r="C75" s="529" t="s">
        <v>162</v>
      </c>
      <c r="D75" s="530"/>
    </row>
    <row r="76" spans="1:6">
      <c r="A76" s="26" t="s">
        <v>163</v>
      </c>
      <c r="F76" s="32"/>
    </row>
    <row r="77" spans="1:6">
      <c r="A77" s="33"/>
      <c r="B77" s="34"/>
      <c r="C77" s="34"/>
      <c r="D77" s="34"/>
    </row>
    <row r="78" spans="1:6" ht="13">
      <c r="A78" s="528" t="s">
        <v>164</v>
      </c>
      <c r="B78" s="528"/>
      <c r="C78" s="528"/>
      <c r="D78" s="528"/>
    </row>
    <row r="79" spans="1:6">
      <c r="A79" s="26"/>
    </row>
    <row r="80" spans="1:6" ht="24.75" customHeight="1">
      <c r="A80" s="531" t="s">
        <v>165</v>
      </c>
      <c r="B80" s="531"/>
      <c r="C80" s="531"/>
      <c r="D80" s="531"/>
    </row>
    <row r="81" spans="1:3">
      <c r="A81" s="26"/>
    </row>
    <row r="82" spans="1:3" ht="39" customHeight="1">
      <c r="A82" s="26" t="s">
        <v>149</v>
      </c>
      <c r="C82" s="26" t="s">
        <v>166</v>
      </c>
    </row>
    <row r="83" spans="1:3">
      <c r="A83" s="26"/>
    </row>
    <row r="84" spans="1:3">
      <c r="A84" s="26"/>
    </row>
    <row r="85" spans="1:3">
      <c r="A85" s="26"/>
    </row>
    <row r="86" spans="1:3">
      <c r="A86" s="26"/>
    </row>
    <row r="87" spans="1:3">
      <c r="A87" s="26"/>
    </row>
    <row r="88" spans="1:3">
      <c r="A88" s="26"/>
    </row>
    <row r="89" spans="1:3">
      <c r="A89" s="26"/>
    </row>
    <row r="90" spans="1:3">
      <c r="A90" s="26"/>
    </row>
    <row r="91" spans="1:3">
      <c r="A91" s="26"/>
    </row>
    <row r="92" spans="1:3">
      <c r="A92" s="26"/>
    </row>
    <row r="93" spans="1:3">
      <c r="A93" s="26"/>
    </row>
    <row r="94" spans="1:3">
      <c r="A94" s="26"/>
    </row>
  </sheetData>
  <mergeCells count="20">
    <mergeCell ref="A53:D53"/>
    <mergeCell ref="A1:D1"/>
    <mergeCell ref="A3:D3"/>
    <mergeCell ref="A5:D5"/>
    <mergeCell ref="A8:D8"/>
    <mergeCell ref="A11:D11"/>
    <mergeCell ref="A13:D13"/>
    <mergeCell ref="A15:D15"/>
    <mergeCell ref="A21:D21"/>
    <mergeCell ref="A23:D23"/>
    <mergeCell ref="A36:D36"/>
    <mergeCell ref="A10:D10"/>
    <mergeCell ref="A30:A31"/>
    <mergeCell ref="C44:D46"/>
    <mergeCell ref="A65:D65"/>
    <mergeCell ref="A67:D67"/>
    <mergeCell ref="C75:D75"/>
    <mergeCell ref="A78:D78"/>
    <mergeCell ref="A80:D80"/>
    <mergeCell ref="C73:D74"/>
  </mergeCells>
  <pageMargins left="1" right="1" top="1" bottom="1" header="0.5" footer="0.5"/>
  <pageSetup paperSize="9" scale="80" orientation="portrait" r:id="rId1"/>
  <headerFooter alignWithMargins="0"/>
  <rowBreaks count="1" manualBreakCount="1">
    <brk id="33" max="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72"/>
  <sheetViews>
    <sheetView showZeros="0" view="pageBreakPreview" zoomScale="32" zoomScaleSheetLayoutView="32" workbookViewId="0">
      <selection activeCell="A47" sqref="A47:AE47"/>
    </sheetView>
  </sheetViews>
  <sheetFormatPr defaultColWidth="8" defaultRowHeight="13"/>
  <cols>
    <col min="1" max="1" width="10" style="10" customWidth="1"/>
    <col min="2" max="2" width="24.08984375" style="10" customWidth="1"/>
    <col min="3" max="3" width="1.90625" style="10" customWidth="1"/>
    <col min="4" max="4" width="14.6328125" style="10" customWidth="1"/>
    <col min="5" max="5" width="1" style="10" customWidth="1"/>
    <col min="6" max="6" width="0.54296875" style="10" customWidth="1"/>
    <col min="7" max="7" width="25.453125" style="10" customWidth="1"/>
    <col min="8" max="8" width="0.453125" style="10" hidden="1" customWidth="1"/>
    <col min="9" max="9" width="6.453125" style="10" customWidth="1"/>
    <col min="10" max="10" width="1.90625" style="10" customWidth="1"/>
    <col min="11" max="11" width="7.453125" style="10" customWidth="1"/>
    <col min="12" max="12" width="4.36328125" style="10" customWidth="1"/>
    <col min="13" max="13" width="2.90625" style="10" customWidth="1"/>
    <col min="14" max="14" width="18.54296875" style="10" customWidth="1"/>
    <col min="15" max="15" width="11.36328125" style="10" customWidth="1"/>
    <col min="16" max="16" width="12.6328125" style="10" customWidth="1"/>
    <col min="17" max="17" width="28" style="10" customWidth="1"/>
    <col min="18" max="18" width="2.36328125" style="10" customWidth="1"/>
    <col min="19" max="19" width="6.90625" style="10" customWidth="1"/>
    <col min="20" max="20" width="25.08984375" style="10" customWidth="1"/>
    <col min="21" max="21" width="1" style="10" customWidth="1"/>
    <col min="22" max="22" width="10.08984375" style="10" customWidth="1"/>
    <col min="23" max="23" width="2.90625" style="10" customWidth="1"/>
    <col min="24" max="24" width="6.90625" style="10" customWidth="1"/>
    <col min="25" max="25" width="1" style="10" customWidth="1"/>
    <col min="26" max="26" width="5" style="10" customWidth="1"/>
    <col min="27" max="27" width="1.90625" style="10" customWidth="1"/>
    <col min="28" max="28" width="7.90625" style="10" customWidth="1"/>
    <col min="29" max="29" width="3.90625" style="10" customWidth="1"/>
    <col min="30" max="30" width="8" style="10"/>
    <col min="31" max="31" width="17.36328125" style="10" customWidth="1"/>
    <col min="32" max="16384" width="8" style="10"/>
  </cols>
  <sheetData>
    <row r="1" spans="1:31" ht="36.75" customHeight="1">
      <c r="A1" s="9"/>
      <c r="B1" s="367"/>
      <c r="C1" s="367"/>
      <c r="D1" s="367"/>
      <c r="E1" s="367"/>
      <c r="F1" s="367"/>
      <c r="G1" s="367"/>
    </row>
    <row r="2" spans="1:31" ht="51" customHeight="1">
      <c r="A2" s="37"/>
      <c r="B2" s="367"/>
      <c r="C2" s="367"/>
      <c r="D2" s="367"/>
      <c r="E2" s="367"/>
      <c r="F2" s="367"/>
      <c r="G2" s="367"/>
      <c r="H2" s="37"/>
      <c r="I2" s="626" t="s">
        <v>167</v>
      </c>
      <c r="J2" s="626"/>
      <c r="K2" s="626"/>
      <c r="L2" s="626"/>
      <c r="M2" s="626"/>
      <c r="N2" s="626"/>
      <c r="O2" s="626"/>
      <c r="P2" s="626"/>
      <c r="Q2" s="626"/>
      <c r="R2" s="626"/>
      <c r="S2" s="626"/>
      <c r="T2" s="626"/>
      <c r="U2" s="626"/>
      <c r="V2" s="626"/>
      <c r="W2" s="626"/>
      <c r="X2" s="626"/>
      <c r="Y2" s="626"/>
      <c r="Z2" s="626"/>
      <c r="AA2" s="626"/>
      <c r="AB2" s="626"/>
      <c r="AC2" s="626"/>
      <c r="AD2" s="626"/>
      <c r="AE2" s="626"/>
    </row>
    <row r="3" spans="1:31" ht="49.5" customHeight="1">
      <c r="A3" s="38"/>
      <c r="B3" s="367"/>
      <c r="C3" s="367"/>
      <c r="D3" s="367"/>
      <c r="E3" s="367"/>
      <c r="F3" s="367"/>
      <c r="G3" s="367"/>
      <c r="H3" s="39"/>
      <c r="I3" s="39"/>
      <c r="J3" s="39"/>
      <c r="K3" s="39"/>
      <c r="L3" s="39"/>
      <c r="M3" s="39"/>
      <c r="N3" s="39"/>
      <c r="O3" s="39"/>
      <c r="P3" s="39"/>
      <c r="Q3" s="39"/>
      <c r="R3" s="39"/>
      <c r="S3" s="39"/>
      <c r="T3" s="39"/>
      <c r="U3" s="39"/>
      <c r="V3" s="39"/>
      <c r="W3" s="39"/>
      <c r="X3" s="39"/>
      <c r="Y3" s="39"/>
      <c r="Z3" s="39"/>
      <c r="AA3" s="39"/>
      <c r="AB3" s="627" t="s">
        <v>168</v>
      </c>
      <c r="AC3" s="627"/>
      <c r="AD3" s="627"/>
      <c r="AE3" s="627"/>
    </row>
    <row r="4" spans="1:31" ht="67.5" customHeight="1">
      <c r="A4" s="628" t="s">
        <v>169</v>
      </c>
      <c r="B4" s="628"/>
      <c r="C4" s="628"/>
      <c r="D4" s="628"/>
      <c r="E4" s="628"/>
      <c r="F4" s="628"/>
      <c r="G4" s="628"/>
      <c r="H4" s="628"/>
      <c r="I4" s="628"/>
      <c r="J4" s="628"/>
      <c r="K4" s="628"/>
      <c r="L4" s="628"/>
      <c r="M4" s="628"/>
      <c r="N4" s="628"/>
      <c r="O4" s="628"/>
      <c r="P4" s="628"/>
      <c r="Q4" s="628"/>
      <c r="R4" s="628"/>
      <c r="S4" s="628"/>
      <c r="T4" s="628"/>
      <c r="U4" s="628"/>
      <c r="V4" s="628"/>
      <c r="W4" s="628"/>
      <c r="X4" s="628"/>
      <c r="Y4" s="628"/>
      <c r="Z4" s="628"/>
      <c r="AA4" s="628"/>
      <c r="AB4" s="628"/>
      <c r="AC4" s="628"/>
      <c r="AD4" s="628"/>
      <c r="AE4" s="628"/>
    </row>
    <row r="5" spans="1:31" ht="42.75" customHeight="1">
      <c r="A5" s="40" t="s">
        <v>170</v>
      </c>
      <c r="B5" s="41"/>
      <c r="C5" s="41"/>
      <c r="D5" s="41"/>
      <c r="E5" s="41"/>
      <c r="F5" s="41"/>
      <c r="G5" s="41"/>
      <c r="H5" s="41"/>
      <c r="I5" s="41"/>
      <c r="J5" s="41"/>
      <c r="K5" s="41"/>
      <c r="L5" s="41"/>
      <c r="M5" s="41"/>
      <c r="N5" s="41"/>
      <c r="O5" s="41"/>
      <c r="P5" s="41"/>
      <c r="Q5" s="41"/>
      <c r="R5" s="41"/>
      <c r="S5" s="41"/>
      <c r="T5" s="41"/>
      <c r="U5" s="41"/>
      <c r="V5" s="41"/>
      <c r="W5" s="41"/>
      <c r="X5" s="41"/>
      <c r="Y5" s="41"/>
      <c r="Z5" s="41"/>
      <c r="AA5" s="41"/>
      <c r="AB5" s="41"/>
      <c r="AC5" s="41"/>
      <c r="AD5" s="41"/>
      <c r="AE5" s="41"/>
    </row>
    <row r="6" spans="1:31" ht="67.5" customHeight="1">
      <c r="A6" s="601" t="s">
        <v>171</v>
      </c>
      <c r="B6" s="603"/>
      <c r="C6" s="549">
        <f>'Data entry sheet'!C118</f>
        <v>0</v>
      </c>
      <c r="D6" s="547"/>
      <c r="E6" s="547"/>
      <c r="F6" s="547"/>
      <c r="G6" s="547"/>
      <c r="H6" s="547"/>
      <c r="I6" s="547"/>
      <c r="J6" s="547"/>
      <c r="K6" s="547"/>
      <c r="L6" s="547"/>
      <c r="M6" s="547"/>
      <c r="N6" s="547"/>
      <c r="O6" s="547"/>
      <c r="P6" s="547"/>
      <c r="Q6" s="548"/>
      <c r="R6" s="41"/>
      <c r="S6" s="549" t="s">
        <v>172</v>
      </c>
      <c r="T6" s="548"/>
      <c r="U6" s="549"/>
      <c r="V6" s="547"/>
      <c r="W6" s="547"/>
      <c r="X6" s="547"/>
      <c r="Y6" s="547"/>
      <c r="Z6" s="547"/>
      <c r="AA6" s="547"/>
      <c r="AB6" s="547"/>
      <c r="AC6" s="547"/>
      <c r="AD6" s="547"/>
      <c r="AE6" s="548"/>
    </row>
    <row r="7" spans="1:31" ht="65.25" customHeight="1">
      <c r="A7" s="549" t="s">
        <v>173</v>
      </c>
      <c r="B7" s="548"/>
      <c r="C7" s="549" t="str">
        <f>HRIS!B4</f>
        <v xml:space="preserve">  </v>
      </c>
      <c r="D7" s="547"/>
      <c r="E7" s="547"/>
      <c r="F7" s="547"/>
      <c r="G7" s="547"/>
      <c r="H7" s="547"/>
      <c r="I7" s="547"/>
      <c r="J7" s="547"/>
      <c r="K7" s="547"/>
      <c r="L7" s="547"/>
      <c r="M7" s="547"/>
      <c r="N7" s="547"/>
      <c r="O7" s="547"/>
      <c r="P7" s="547"/>
      <c r="Q7" s="548"/>
      <c r="R7" s="41"/>
      <c r="S7" s="619" t="s">
        <v>174</v>
      </c>
      <c r="T7" s="620"/>
      <c r="U7" s="601" t="s">
        <v>175</v>
      </c>
      <c r="V7" s="602"/>
      <c r="W7" s="602"/>
      <c r="X7" s="603"/>
      <c r="Y7" s="601" t="s">
        <v>176</v>
      </c>
      <c r="Z7" s="602"/>
      <c r="AA7" s="602"/>
      <c r="AB7" s="603"/>
      <c r="AC7" s="601" t="s">
        <v>177</v>
      </c>
      <c r="AD7" s="602"/>
      <c r="AE7" s="603"/>
    </row>
    <row r="8" spans="1:31" ht="76.5" customHeight="1">
      <c r="A8" s="549" t="s">
        <v>178</v>
      </c>
      <c r="B8" s="548"/>
      <c r="C8" s="549">
        <f>HRIS!B6</f>
        <v>0</v>
      </c>
      <c r="D8" s="547"/>
      <c r="E8" s="547"/>
      <c r="F8" s="547"/>
      <c r="G8" s="547"/>
      <c r="H8" s="547"/>
      <c r="I8" s="547"/>
      <c r="J8" s="547"/>
      <c r="K8" s="547"/>
      <c r="L8" s="547"/>
      <c r="M8" s="547"/>
      <c r="N8" s="547"/>
      <c r="O8" s="622"/>
      <c r="P8" s="622"/>
      <c r="Q8" s="620"/>
      <c r="R8" s="41"/>
      <c r="S8" s="621"/>
      <c r="T8" s="618"/>
      <c r="U8" s="629">
        <f>HRIS!B68</f>
        <v>0</v>
      </c>
      <c r="V8" s="630"/>
      <c r="W8" s="630"/>
      <c r="X8" s="630"/>
      <c r="Y8" s="630"/>
      <c r="Z8" s="630"/>
      <c r="AA8" s="630"/>
      <c r="AB8" s="630"/>
      <c r="AC8" s="630"/>
      <c r="AD8" s="630"/>
      <c r="AE8" s="631"/>
    </row>
    <row r="9" spans="1:31" ht="63.75" customHeight="1">
      <c r="A9" s="601" t="s">
        <v>37</v>
      </c>
      <c r="B9" s="603"/>
      <c r="C9" s="623">
        <f>HRIS!B10</f>
        <v>0</v>
      </c>
      <c r="D9" s="624"/>
      <c r="E9" s="624"/>
      <c r="F9" s="624"/>
      <c r="G9" s="624"/>
      <c r="H9" s="624"/>
      <c r="I9" s="624"/>
      <c r="J9" s="624"/>
      <c r="K9" s="625"/>
      <c r="L9" s="549" t="s">
        <v>179</v>
      </c>
      <c r="M9" s="547"/>
      <c r="N9" s="547"/>
      <c r="O9" s="581">
        <f>HRIS!B16</f>
        <v>0</v>
      </c>
      <c r="P9" s="596"/>
      <c r="Q9" s="597"/>
      <c r="R9" s="41"/>
      <c r="S9" s="549" t="s">
        <v>180</v>
      </c>
      <c r="T9" s="547"/>
      <c r="U9" s="547"/>
      <c r="V9" s="547"/>
      <c r="W9" s="547"/>
      <c r="X9" s="547"/>
      <c r="Y9" s="547"/>
      <c r="Z9" s="547"/>
      <c r="AA9" s="547"/>
      <c r="AB9" s="547"/>
      <c r="AC9" s="547"/>
      <c r="AD9" s="547"/>
      <c r="AE9" s="548"/>
    </row>
    <row r="10" spans="1:31" ht="49.5" customHeight="1">
      <c r="A10" s="549"/>
      <c r="B10" s="548"/>
      <c r="C10" s="549"/>
      <c r="D10" s="547"/>
      <c r="E10" s="548"/>
      <c r="F10" s="549"/>
      <c r="G10" s="547"/>
      <c r="H10" s="548"/>
      <c r="I10" s="549"/>
      <c r="J10" s="547"/>
      <c r="K10" s="548"/>
      <c r="L10" s="601" t="s">
        <v>181</v>
      </c>
      <c r="M10" s="602"/>
      <c r="N10" s="602"/>
      <c r="O10" s="568">
        <f>HRIS!E10</f>
        <v>0</v>
      </c>
      <c r="P10" s="568"/>
      <c r="Q10" s="568"/>
      <c r="R10" s="41"/>
      <c r="S10" s="549"/>
      <c r="T10" s="547"/>
      <c r="U10" s="547"/>
      <c r="V10" s="547"/>
      <c r="W10" s="547"/>
      <c r="X10" s="547"/>
      <c r="Y10" s="547"/>
      <c r="Z10" s="547"/>
      <c r="AA10" s="547"/>
      <c r="AB10" s="547"/>
      <c r="AC10" s="547"/>
      <c r="AD10" s="547"/>
      <c r="AE10" s="548"/>
    </row>
    <row r="11" spans="1:31" ht="66.75" customHeight="1">
      <c r="A11" s="601" t="s">
        <v>182</v>
      </c>
      <c r="B11" s="547"/>
      <c r="C11" s="547"/>
      <c r="D11" s="547"/>
      <c r="E11" s="547"/>
      <c r="F11" s="547"/>
      <c r="G11" s="548"/>
      <c r="H11" s="601" t="s">
        <v>183</v>
      </c>
      <c r="I11" s="547"/>
      <c r="J11" s="547"/>
      <c r="K11" s="547"/>
      <c r="L11" s="547"/>
      <c r="M11" s="547"/>
      <c r="N11" s="547"/>
      <c r="O11" s="617"/>
      <c r="P11" s="617"/>
      <c r="Q11" s="618"/>
      <c r="R11" s="41"/>
      <c r="S11" s="549" t="s">
        <v>184</v>
      </c>
      <c r="T11" s="547"/>
      <c r="U11" s="547"/>
      <c r="V11" s="547"/>
      <c r="W11" s="547"/>
      <c r="X11" s="547"/>
      <c r="Y11" s="547"/>
      <c r="Z11" s="547"/>
      <c r="AA11" s="547"/>
      <c r="AB11" s="547"/>
      <c r="AC11" s="547"/>
      <c r="AD11" s="547"/>
      <c r="AE11" s="548"/>
    </row>
    <row r="12" spans="1:31" ht="100.5" customHeight="1">
      <c r="A12" s="549" t="str">
        <f>HRIS!A23</f>
        <v xml:space="preserve">, , , </v>
      </c>
      <c r="B12" s="547"/>
      <c r="C12" s="547"/>
      <c r="D12" s="547"/>
      <c r="E12" s="547"/>
      <c r="F12" s="547"/>
      <c r="G12" s="548"/>
      <c r="H12" s="549" t="str">
        <f>HRIS!D23</f>
        <v xml:space="preserve">, , , , </v>
      </c>
      <c r="I12" s="547"/>
      <c r="J12" s="547"/>
      <c r="K12" s="547"/>
      <c r="L12" s="547"/>
      <c r="M12" s="547"/>
      <c r="N12" s="547"/>
      <c r="O12" s="547"/>
      <c r="P12" s="547"/>
      <c r="Q12" s="548"/>
      <c r="R12" s="41"/>
      <c r="S12" s="601" t="s">
        <v>185</v>
      </c>
      <c r="T12" s="602"/>
      <c r="U12" s="603"/>
      <c r="V12" s="615">
        <f>HRIS!E64</f>
        <v>0</v>
      </c>
      <c r="W12" s="604"/>
      <c r="X12" s="604"/>
      <c r="Y12" s="604"/>
      <c r="Z12" s="604"/>
      <c r="AA12" s="604"/>
      <c r="AB12" s="604"/>
      <c r="AC12" s="604"/>
      <c r="AD12" s="604"/>
      <c r="AE12" s="605"/>
    </row>
    <row r="13" spans="1:31" ht="81.75" customHeight="1">
      <c r="A13" s="606"/>
      <c r="B13" s="607"/>
      <c r="C13" s="607"/>
      <c r="D13" s="607"/>
      <c r="E13" s="607"/>
      <c r="F13" s="607"/>
      <c r="G13" s="608"/>
      <c r="H13" s="606"/>
      <c r="I13" s="607"/>
      <c r="J13" s="607"/>
      <c r="K13" s="607"/>
      <c r="L13" s="607"/>
      <c r="M13" s="604"/>
      <c r="N13" s="604"/>
      <c r="O13" s="604"/>
      <c r="P13" s="604"/>
      <c r="Q13" s="605"/>
      <c r="R13" s="41"/>
      <c r="S13" s="601" t="s">
        <v>186</v>
      </c>
      <c r="T13" s="602"/>
      <c r="U13" s="603"/>
      <c r="V13" s="615"/>
      <c r="W13" s="604"/>
      <c r="X13" s="604"/>
      <c r="Y13" s="604"/>
      <c r="Z13" s="604"/>
      <c r="AA13" s="604"/>
      <c r="AB13" s="604"/>
      <c r="AC13" s="604"/>
      <c r="AD13" s="604"/>
      <c r="AE13" s="605"/>
    </row>
    <row r="14" spans="1:31" ht="64.5" customHeight="1">
      <c r="A14" s="564" t="s">
        <v>187</v>
      </c>
      <c r="B14" s="564"/>
      <c r="C14" s="587">
        <f>HRIS!C26</f>
        <v>0</v>
      </c>
      <c r="D14" s="588"/>
      <c r="E14" s="588"/>
      <c r="F14" s="588"/>
      <c r="G14" s="589"/>
      <c r="H14" s="587" t="s">
        <v>187</v>
      </c>
      <c r="I14" s="588"/>
      <c r="J14" s="588"/>
      <c r="K14" s="588"/>
      <c r="L14" s="589"/>
      <c r="M14" s="616">
        <f>HRIS!F26</f>
        <v>0</v>
      </c>
      <c r="N14" s="547"/>
      <c r="O14" s="547"/>
      <c r="P14" s="547"/>
      <c r="Q14" s="548"/>
      <c r="R14" s="41"/>
      <c r="S14" s="549" t="s">
        <v>188</v>
      </c>
      <c r="T14" s="547"/>
      <c r="U14" s="547"/>
      <c r="V14" s="547"/>
      <c r="W14" s="547"/>
      <c r="X14" s="547"/>
      <c r="Y14" s="547"/>
      <c r="Z14" s="547"/>
      <c r="AA14" s="547"/>
      <c r="AB14" s="547"/>
      <c r="AC14" s="547"/>
      <c r="AD14" s="547"/>
      <c r="AE14" s="548"/>
    </row>
    <row r="15" spans="1:31" ht="65.25" customHeight="1">
      <c r="A15" s="564" t="s">
        <v>189</v>
      </c>
      <c r="B15" s="564"/>
      <c r="C15" s="587">
        <f>HRIS!B30</f>
        <v>0</v>
      </c>
      <c r="D15" s="588"/>
      <c r="E15" s="588"/>
      <c r="F15" s="588"/>
      <c r="G15" s="589"/>
      <c r="H15" s="564" t="s">
        <v>189</v>
      </c>
      <c r="I15" s="564"/>
      <c r="J15" s="564"/>
      <c r="K15" s="564"/>
      <c r="L15" s="564"/>
      <c r="M15" s="604"/>
      <c r="N15" s="604"/>
      <c r="O15" s="604"/>
      <c r="P15" s="604"/>
      <c r="Q15" s="605"/>
      <c r="R15" s="41"/>
      <c r="S15" s="606"/>
      <c r="T15" s="607"/>
      <c r="U15" s="607"/>
      <c r="V15" s="607"/>
      <c r="W15" s="607"/>
      <c r="X15" s="607"/>
      <c r="Y15" s="607"/>
      <c r="Z15" s="607"/>
      <c r="AA15" s="607"/>
      <c r="AB15" s="607"/>
      <c r="AC15" s="607"/>
      <c r="AD15" s="607"/>
      <c r="AE15" s="608"/>
    </row>
    <row r="16" spans="1:31" ht="37.5" customHeight="1">
      <c r="A16" s="612" t="s">
        <v>190</v>
      </c>
      <c r="B16" s="595"/>
      <c r="C16" s="595"/>
      <c r="D16" s="595"/>
      <c r="E16" s="595"/>
      <c r="F16" s="595"/>
      <c r="G16" s="613"/>
      <c r="H16" s="612" t="s">
        <v>191</v>
      </c>
      <c r="I16" s="595"/>
      <c r="J16" s="595"/>
      <c r="K16" s="595"/>
      <c r="L16" s="595"/>
      <c r="M16" s="551"/>
      <c r="N16" s="551"/>
      <c r="O16" s="551"/>
      <c r="P16" s="551"/>
      <c r="Q16" s="614"/>
      <c r="R16" s="41"/>
      <c r="S16" s="609"/>
      <c r="T16" s="567"/>
      <c r="U16" s="567"/>
      <c r="V16" s="567"/>
      <c r="W16" s="610"/>
      <c r="X16" s="610"/>
      <c r="Y16" s="610"/>
      <c r="Z16" s="610"/>
      <c r="AA16" s="610"/>
      <c r="AB16" s="610"/>
      <c r="AC16" s="610"/>
      <c r="AD16" s="610"/>
      <c r="AE16" s="611"/>
    </row>
    <row r="17" spans="1:31" ht="57.75" customHeight="1">
      <c r="A17" s="581"/>
      <c r="B17" s="596"/>
      <c r="C17" s="596"/>
      <c r="D17" s="596"/>
      <c r="E17" s="596"/>
      <c r="F17" s="596"/>
      <c r="G17" s="597"/>
      <c r="H17" s="581"/>
      <c r="I17" s="596"/>
      <c r="J17" s="596"/>
      <c r="K17" s="596"/>
      <c r="L17" s="596"/>
      <c r="M17" s="596"/>
      <c r="N17" s="596"/>
      <c r="O17" s="596"/>
      <c r="P17" s="596"/>
      <c r="Q17" s="597"/>
      <c r="R17" s="41"/>
      <c r="S17" s="568" t="s">
        <v>189</v>
      </c>
      <c r="T17" s="568"/>
      <c r="U17" s="568"/>
      <c r="V17" s="568"/>
      <c r="W17" s="598">
        <f>'Data entry sheet'!C38</f>
        <v>0</v>
      </c>
      <c r="X17" s="598"/>
      <c r="Y17" s="598"/>
      <c r="Z17" s="598"/>
      <c r="AA17" s="598"/>
      <c r="AB17" s="598"/>
      <c r="AC17" s="598"/>
      <c r="AD17" s="598"/>
      <c r="AE17" s="599"/>
    </row>
    <row r="18" spans="1:31" ht="62.25" customHeight="1">
      <c r="A18" s="600" t="s">
        <v>313</v>
      </c>
      <c r="B18" s="600"/>
      <c r="C18" s="600"/>
      <c r="D18" s="600"/>
      <c r="E18" s="600"/>
      <c r="F18" s="600"/>
      <c r="G18" s="600"/>
      <c r="H18" s="600"/>
      <c r="I18" s="600"/>
      <c r="J18" s="600"/>
      <c r="K18" s="600"/>
      <c r="L18" s="600"/>
      <c r="M18" s="600"/>
      <c r="N18" s="600"/>
      <c r="O18" s="600"/>
      <c r="P18" s="600"/>
      <c r="Q18" s="600"/>
      <c r="R18" s="600"/>
      <c r="S18" s="600"/>
      <c r="T18" s="600"/>
      <c r="U18" s="600"/>
      <c r="V18" s="600"/>
      <c r="W18" s="600"/>
      <c r="X18" s="600"/>
      <c r="Y18" s="600"/>
      <c r="Z18" s="600"/>
      <c r="AA18" s="600"/>
      <c r="AB18" s="600"/>
      <c r="AC18" s="600"/>
      <c r="AD18" s="600"/>
      <c r="AE18" s="600"/>
    </row>
    <row r="19" spans="1:31" ht="39.75" customHeight="1">
      <c r="A19" s="601" t="s">
        <v>0</v>
      </c>
      <c r="B19" s="602"/>
      <c r="C19" s="602"/>
      <c r="D19" s="602"/>
      <c r="E19" s="602"/>
      <c r="F19" s="602"/>
      <c r="G19" s="603"/>
      <c r="H19" s="601" t="s">
        <v>192</v>
      </c>
      <c r="I19" s="602"/>
      <c r="J19" s="602"/>
      <c r="K19" s="602"/>
      <c r="L19" s="602"/>
      <c r="M19" s="568" t="s">
        <v>36</v>
      </c>
      <c r="N19" s="568"/>
      <c r="O19" s="568"/>
      <c r="P19" s="568"/>
      <c r="Q19" s="568"/>
      <c r="R19" s="568"/>
      <c r="S19" s="568"/>
      <c r="T19" s="568"/>
      <c r="U19" s="568"/>
      <c r="V19" s="568"/>
      <c r="W19" s="568"/>
      <c r="X19" s="568"/>
      <c r="Y19" s="568"/>
      <c r="Z19" s="568"/>
      <c r="AA19" s="568"/>
      <c r="AB19" s="568"/>
      <c r="AC19" s="568"/>
      <c r="AD19" s="568"/>
      <c r="AE19" s="568"/>
    </row>
    <row r="20" spans="1:31" ht="147" customHeight="1">
      <c r="A20" s="549" t="str">
        <f>HRIS!A59</f>
        <v xml:space="preserve"> </v>
      </c>
      <c r="B20" s="547"/>
      <c r="C20" s="547"/>
      <c r="D20" s="547"/>
      <c r="E20" s="547"/>
      <c r="F20" s="547"/>
      <c r="G20" s="548"/>
      <c r="H20" s="549">
        <f>HRIS!B59</f>
        <v>0</v>
      </c>
      <c r="I20" s="547"/>
      <c r="J20" s="547"/>
      <c r="K20" s="547"/>
      <c r="L20" s="547"/>
      <c r="M20" s="587">
        <f>HRIS!F59</f>
        <v>0</v>
      </c>
      <c r="N20" s="588"/>
      <c r="O20" s="588"/>
      <c r="P20" s="588"/>
      <c r="Q20" s="588"/>
      <c r="R20" s="588"/>
      <c r="S20" s="588"/>
      <c r="T20" s="588"/>
      <c r="U20" s="588"/>
      <c r="V20" s="588"/>
      <c r="W20" s="588"/>
      <c r="X20" s="588"/>
      <c r="Y20" s="588"/>
      <c r="Z20" s="588"/>
      <c r="AA20" s="588"/>
      <c r="AB20" s="588"/>
      <c r="AC20" s="588"/>
      <c r="AD20" s="588"/>
      <c r="AE20" s="589"/>
    </row>
    <row r="21" spans="1:31" ht="69" customHeight="1">
      <c r="A21" s="595" t="s">
        <v>314</v>
      </c>
      <c r="B21" s="595"/>
      <c r="C21" s="595"/>
      <c r="D21" s="595"/>
      <c r="E21" s="595"/>
      <c r="F21" s="595"/>
      <c r="G21" s="595"/>
      <c r="H21" s="595"/>
      <c r="I21" s="595"/>
      <c r="J21" s="595"/>
      <c r="K21" s="595"/>
      <c r="L21" s="595"/>
      <c r="M21" s="595"/>
      <c r="N21" s="595"/>
      <c r="O21" s="595"/>
      <c r="P21" s="595"/>
      <c r="Q21" s="595"/>
      <c r="R21" s="595"/>
      <c r="S21" s="595"/>
      <c r="T21" s="595"/>
      <c r="U21" s="595"/>
      <c r="V21" s="595"/>
      <c r="W21" s="595"/>
      <c r="X21" s="595"/>
      <c r="Y21" s="595"/>
      <c r="Z21" s="595"/>
      <c r="AA21" s="595"/>
      <c r="AB21" s="595"/>
      <c r="AC21" s="595"/>
      <c r="AD21" s="595"/>
      <c r="AE21" s="595"/>
    </row>
    <row r="22" spans="1:31" ht="0.75" customHeight="1">
      <c r="A22" s="40"/>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row>
    <row r="23" spans="1:31" ht="34.5" customHeight="1">
      <c r="A23" s="594" t="s">
        <v>193</v>
      </c>
      <c r="B23" s="594"/>
      <c r="C23" s="594"/>
      <c r="D23" s="594"/>
      <c r="E23" s="594"/>
      <c r="F23" s="594"/>
      <c r="G23" s="594"/>
      <c r="H23" s="594"/>
      <c r="I23" s="41"/>
      <c r="J23" s="41"/>
      <c r="K23" s="41"/>
      <c r="L23" s="41"/>
      <c r="M23" s="41"/>
      <c r="N23" s="41"/>
      <c r="O23" s="41"/>
      <c r="P23" s="41"/>
      <c r="Q23" s="41"/>
      <c r="R23" s="41"/>
      <c r="S23" s="41"/>
      <c r="T23" s="41"/>
      <c r="U23" s="41"/>
      <c r="V23" s="565" t="s">
        <v>194</v>
      </c>
      <c r="W23" s="565"/>
      <c r="X23" s="565"/>
      <c r="Y23" s="565"/>
      <c r="Z23" s="565"/>
      <c r="AA23" s="565"/>
      <c r="AB23" s="565"/>
      <c r="AC23" s="565"/>
      <c r="AD23" s="565"/>
      <c r="AE23" s="565"/>
    </row>
    <row r="24" spans="1:31" ht="131.25" customHeight="1">
      <c r="A24" s="594"/>
      <c r="B24" s="594"/>
      <c r="C24" s="594"/>
      <c r="D24" s="594"/>
      <c r="E24" s="594"/>
      <c r="F24" s="594"/>
      <c r="G24" s="594"/>
      <c r="H24" s="594"/>
      <c r="I24" s="41"/>
      <c r="J24" s="41"/>
      <c r="K24" s="41"/>
      <c r="L24" s="41"/>
      <c r="M24" s="41"/>
      <c r="N24" s="41"/>
      <c r="O24" s="41"/>
      <c r="P24" s="41"/>
      <c r="Q24" s="41"/>
      <c r="R24" s="41"/>
      <c r="S24" s="41"/>
      <c r="T24" s="41"/>
      <c r="U24" s="41"/>
      <c r="V24" s="41"/>
      <c r="W24" s="41"/>
      <c r="X24" s="41"/>
      <c r="Y24" s="41"/>
      <c r="Z24" s="565"/>
      <c r="AA24" s="565"/>
      <c r="AB24" s="565"/>
      <c r="AC24" s="565"/>
      <c r="AD24" s="565"/>
      <c r="AE24" s="565"/>
    </row>
    <row r="25" spans="1:31" ht="50.25" customHeight="1">
      <c r="A25" s="40" t="s">
        <v>195</v>
      </c>
      <c r="B25" s="41"/>
      <c r="C25" s="41"/>
      <c r="D25" s="41"/>
      <c r="E25" s="41"/>
      <c r="F25" s="41"/>
      <c r="G25" s="41"/>
      <c r="H25" s="41"/>
      <c r="I25" s="41"/>
      <c r="J25" s="41"/>
      <c r="K25" s="41"/>
      <c r="L25" s="41"/>
      <c r="M25" s="41"/>
      <c r="N25" s="41"/>
      <c r="O25" s="41"/>
      <c r="P25" s="41"/>
      <c r="Q25" s="41"/>
      <c r="R25" s="41"/>
      <c r="S25" s="41"/>
      <c r="T25" s="41"/>
      <c r="U25" s="41"/>
      <c r="V25" s="41"/>
      <c r="W25" s="41"/>
      <c r="X25" s="41"/>
      <c r="Y25" s="41"/>
      <c r="Z25" s="41"/>
      <c r="AA25" s="41"/>
      <c r="AB25" s="41"/>
      <c r="AC25" s="41"/>
      <c r="AD25" s="41"/>
      <c r="AE25" s="41"/>
    </row>
    <row r="26" spans="1:31" ht="46.5" customHeight="1">
      <c r="A26" s="40" t="s">
        <v>196</v>
      </c>
      <c r="B26" s="41"/>
      <c r="C26" s="41"/>
      <c r="D26" s="41"/>
      <c r="E26" s="41"/>
      <c r="F26" s="41"/>
      <c r="G26" s="41"/>
      <c r="H26" s="41"/>
      <c r="I26" s="41"/>
      <c r="J26" s="41"/>
      <c r="K26" s="41"/>
      <c r="L26" s="41"/>
      <c r="M26" s="41"/>
      <c r="N26" s="41"/>
      <c r="O26" s="41"/>
      <c r="P26" s="41"/>
      <c r="Q26" s="41"/>
      <c r="R26" s="41"/>
      <c r="S26" s="41"/>
      <c r="T26" s="41"/>
      <c r="U26" s="41"/>
      <c r="V26" s="41"/>
      <c r="W26" s="41"/>
      <c r="X26" s="41"/>
      <c r="Y26" s="41"/>
      <c r="Z26" s="41"/>
      <c r="AA26" s="41"/>
      <c r="AB26" s="41"/>
      <c r="AC26" s="41"/>
      <c r="AD26" s="41"/>
      <c r="AE26" s="41"/>
    </row>
    <row r="27" spans="1:31" ht="102.75" customHeight="1">
      <c r="A27" s="42" t="s">
        <v>197</v>
      </c>
      <c r="B27" s="568" t="s">
        <v>0</v>
      </c>
      <c r="C27" s="568"/>
      <c r="D27" s="568"/>
      <c r="E27" s="568"/>
      <c r="F27" s="568"/>
      <c r="G27" s="568"/>
      <c r="H27" s="568"/>
      <c r="I27" s="568"/>
      <c r="J27" s="544" t="s">
        <v>198</v>
      </c>
      <c r="K27" s="545"/>
      <c r="L27" s="545"/>
      <c r="M27" s="545"/>
      <c r="N27" s="545"/>
      <c r="O27" s="545"/>
      <c r="P27" s="546"/>
      <c r="Q27" s="543" t="s">
        <v>199</v>
      </c>
      <c r="R27" s="543"/>
      <c r="S27" s="543"/>
      <c r="T27" s="543"/>
      <c r="U27" s="544" t="s">
        <v>200</v>
      </c>
      <c r="V27" s="545"/>
      <c r="W27" s="545"/>
      <c r="X27" s="545"/>
      <c r="Y27" s="545"/>
      <c r="Z27" s="546"/>
      <c r="AA27" s="543" t="s">
        <v>201</v>
      </c>
      <c r="AB27" s="543"/>
      <c r="AC27" s="543"/>
      <c r="AD27" s="543"/>
      <c r="AE27" s="543"/>
    </row>
    <row r="28" spans="1:31" ht="30.75" customHeight="1">
      <c r="A28" s="43"/>
      <c r="B28" s="593"/>
      <c r="C28" s="593"/>
      <c r="D28" s="593"/>
      <c r="E28" s="593"/>
      <c r="F28" s="593"/>
      <c r="G28" s="593"/>
      <c r="H28" s="593"/>
      <c r="I28" s="593"/>
      <c r="J28" s="544"/>
      <c r="K28" s="545"/>
      <c r="L28" s="545"/>
      <c r="M28" s="545"/>
      <c r="N28" s="545"/>
      <c r="O28" s="545"/>
      <c r="P28" s="546"/>
      <c r="Q28" s="543"/>
      <c r="R28" s="543"/>
      <c r="S28" s="543"/>
      <c r="T28" s="543"/>
      <c r="U28" s="552" t="s">
        <v>202</v>
      </c>
      <c r="V28" s="552"/>
      <c r="W28" s="553"/>
      <c r="X28" s="554" t="s">
        <v>203</v>
      </c>
      <c r="Y28" s="552"/>
      <c r="Z28" s="552"/>
      <c r="AA28" s="542" t="s">
        <v>204</v>
      </c>
      <c r="AB28" s="542"/>
      <c r="AC28" s="542"/>
      <c r="AD28" s="542" t="s">
        <v>205</v>
      </c>
      <c r="AE28" s="542"/>
    </row>
    <row r="29" spans="1:31" ht="36.75" customHeight="1">
      <c r="A29" s="44">
        <v>1</v>
      </c>
      <c r="B29" s="564">
        <f>'Data entry sheet'!C82</f>
        <v>0</v>
      </c>
      <c r="C29" s="564"/>
      <c r="D29" s="564"/>
      <c r="E29" s="564"/>
      <c r="F29" s="564"/>
      <c r="G29" s="564"/>
      <c r="H29" s="564"/>
      <c r="I29" s="564"/>
      <c r="J29" s="590">
        <f>'Data entry sheet'!C83</f>
        <v>0</v>
      </c>
      <c r="K29" s="591"/>
      <c r="L29" s="591"/>
      <c r="M29" s="591"/>
      <c r="N29" s="591"/>
      <c r="O29" s="591"/>
      <c r="P29" s="592"/>
      <c r="Q29" s="564" t="str">
        <f>'Data entry sheet'!C84</f>
        <v/>
      </c>
      <c r="R29" s="564"/>
      <c r="S29" s="564"/>
      <c r="T29" s="564"/>
      <c r="U29" s="547"/>
      <c r="V29" s="547"/>
      <c r="W29" s="548"/>
      <c r="X29" s="549"/>
      <c r="Y29" s="547"/>
      <c r="Z29" s="547"/>
      <c r="AA29" s="542"/>
      <c r="AB29" s="542"/>
      <c r="AC29" s="542"/>
      <c r="AD29" s="542"/>
      <c r="AE29" s="542"/>
    </row>
    <row r="30" spans="1:31" ht="35.25" customHeight="1">
      <c r="A30" s="44">
        <v>2</v>
      </c>
      <c r="B30" s="564">
        <f>'Data entry sheet'!C85</f>
        <v>0</v>
      </c>
      <c r="C30" s="564"/>
      <c r="D30" s="564"/>
      <c r="E30" s="564"/>
      <c r="F30" s="564"/>
      <c r="G30" s="564"/>
      <c r="H30" s="564"/>
      <c r="I30" s="564"/>
      <c r="J30" s="590">
        <f>'Data entry sheet'!C86</f>
        <v>0</v>
      </c>
      <c r="K30" s="591"/>
      <c r="L30" s="591"/>
      <c r="M30" s="591"/>
      <c r="N30" s="591"/>
      <c r="O30" s="591"/>
      <c r="P30" s="592"/>
      <c r="Q30" s="564" t="str">
        <f>'Data entry sheet'!C87</f>
        <v/>
      </c>
      <c r="R30" s="564"/>
      <c r="S30" s="564"/>
      <c r="T30" s="564"/>
      <c r="U30" s="547"/>
      <c r="V30" s="547"/>
      <c r="W30" s="548"/>
      <c r="X30" s="549"/>
      <c r="Y30" s="547"/>
      <c r="Z30" s="547"/>
      <c r="AA30" s="542"/>
      <c r="AB30" s="542"/>
      <c r="AC30" s="542"/>
      <c r="AD30" s="542"/>
      <c r="AE30" s="542"/>
    </row>
    <row r="31" spans="1:31" ht="37.5" customHeight="1">
      <c r="A31" s="44">
        <v>3</v>
      </c>
      <c r="B31" s="564">
        <f>'Data entry sheet'!C88</f>
        <v>0</v>
      </c>
      <c r="C31" s="564"/>
      <c r="D31" s="564"/>
      <c r="E31" s="564"/>
      <c r="F31" s="564"/>
      <c r="G31" s="564"/>
      <c r="H31" s="564"/>
      <c r="I31" s="564"/>
      <c r="J31" s="590">
        <f>'Data entry sheet'!C90</f>
        <v>0</v>
      </c>
      <c r="K31" s="591"/>
      <c r="L31" s="591"/>
      <c r="M31" s="591"/>
      <c r="N31" s="591"/>
      <c r="O31" s="591"/>
      <c r="P31" s="592"/>
      <c r="Q31" s="564">
        <f>'Data entry sheet'!C91</f>
        <v>0</v>
      </c>
      <c r="R31" s="564"/>
      <c r="S31" s="564"/>
      <c r="T31" s="564"/>
      <c r="U31" s="547"/>
      <c r="V31" s="547"/>
      <c r="W31" s="548"/>
      <c r="X31" s="549"/>
      <c r="Y31" s="547"/>
      <c r="Z31" s="547"/>
      <c r="AA31" s="542"/>
      <c r="AB31" s="542"/>
      <c r="AC31" s="542"/>
      <c r="AD31" s="542"/>
      <c r="AE31" s="542"/>
    </row>
    <row r="32" spans="1:31" ht="41.25" customHeight="1">
      <c r="A32" s="44">
        <v>4</v>
      </c>
      <c r="B32" s="564">
        <f>'Data entry sheet'!C92</f>
        <v>0</v>
      </c>
      <c r="C32" s="564"/>
      <c r="D32" s="564"/>
      <c r="E32" s="564"/>
      <c r="F32" s="564"/>
      <c r="G32" s="564"/>
      <c r="H32" s="564"/>
      <c r="I32" s="564"/>
      <c r="J32" s="590">
        <f>'Data entry sheet'!C94</f>
        <v>0</v>
      </c>
      <c r="K32" s="591"/>
      <c r="L32" s="591"/>
      <c r="M32" s="591"/>
      <c r="N32" s="591"/>
      <c r="O32" s="591"/>
      <c r="P32" s="592"/>
      <c r="Q32" s="564">
        <f>'Data entry sheet'!C95</f>
        <v>0</v>
      </c>
      <c r="R32" s="564"/>
      <c r="S32" s="564"/>
      <c r="T32" s="564"/>
      <c r="U32" s="547"/>
      <c r="V32" s="547"/>
      <c r="W32" s="548"/>
      <c r="X32" s="549"/>
      <c r="Y32" s="547"/>
      <c r="Z32" s="547"/>
      <c r="AA32" s="542"/>
      <c r="AB32" s="542"/>
      <c r="AC32" s="542"/>
      <c r="AD32" s="542"/>
      <c r="AE32" s="542"/>
    </row>
    <row r="33" spans="1:31" ht="40.5" customHeight="1">
      <c r="A33" s="44">
        <v>5</v>
      </c>
      <c r="B33" s="587">
        <f>'Data entry sheet'!C96</f>
        <v>0</v>
      </c>
      <c r="C33" s="588"/>
      <c r="D33" s="588"/>
      <c r="E33" s="588"/>
      <c r="F33" s="588"/>
      <c r="G33" s="588"/>
      <c r="H33" s="588"/>
      <c r="I33" s="589"/>
      <c r="J33" s="590">
        <f>'Data entry sheet'!C98</f>
        <v>0</v>
      </c>
      <c r="K33" s="591"/>
      <c r="L33" s="591"/>
      <c r="M33" s="591"/>
      <c r="N33" s="591"/>
      <c r="O33" s="591"/>
      <c r="P33" s="592"/>
      <c r="Q33" s="587">
        <f>'Data entry sheet'!C99</f>
        <v>0</v>
      </c>
      <c r="R33" s="588"/>
      <c r="S33" s="588"/>
      <c r="T33" s="589"/>
      <c r="U33" s="547"/>
      <c r="V33" s="547"/>
      <c r="W33" s="548"/>
      <c r="X33" s="549"/>
      <c r="Y33" s="547"/>
      <c r="Z33" s="547"/>
      <c r="AA33" s="542"/>
      <c r="AB33" s="542"/>
      <c r="AC33" s="542"/>
      <c r="AD33" s="542"/>
      <c r="AE33" s="542"/>
    </row>
    <row r="34" spans="1:31" ht="45.75" customHeight="1">
      <c r="A34" s="558" t="s">
        <v>206</v>
      </c>
      <c r="B34" s="558"/>
      <c r="C34" s="558"/>
      <c r="D34" s="558"/>
      <c r="E34" s="558"/>
      <c r="F34" s="558"/>
      <c r="G34" s="558"/>
      <c r="H34" s="558"/>
      <c r="I34" s="558"/>
      <c r="J34" s="558"/>
      <c r="K34" s="558"/>
      <c r="L34" s="558"/>
      <c r="M34" s="558"/>
      <c r="N34" s="558"/>
      <c r="O34" s="558"/>
      <c r="P34" s="558"/>
      <c r="Q34" s="558"/>
      <c r="R34" s="558"/>
      <c r="S34" s="558"/>
      <c r="T34" s="558"/>
      <c r="U34" s="558"/>
      <c r="V34" s="558"/>
      <c r="W34" s="558"/>
      <c r="X34" s="558"/>
      <c r="Y34" s="558"/>
      <c r="Z34" s="558"/>
      <c r="AA34" s="558"/>
      <c r="AB34" s="558"/>
      <c r="AC34" s="558"/>
      <c r="AD34" s="558"/>
      <c r="AE34" s="566"/>
    </row>
    <row r="35" spans="1:31" ht="81.75" customHeight="1">
      <c r="A35" s="40"/>
      <c r="B35" s="41"/>
      <c r="C35" s="41"/>
      <c r="D35" s="41"/>
      <c r="E35" s="41"/>
      <c r="F35" s="41"/>
      <c r="G35" s="41"/>
      <c r="H35" s="41"/>
      <c r="I35" s="41"/>
      <c r="J35" s="567" t="s">
        <v>207</v>
      </c>
      <c r="K35" s="565"/>
      <c r="L35" s="565"/>
      <c r="M35" s="565"/>
      <c r="N35" s="565"/>
      <c r="O35" s="565"/>
      <c r="P35" s="565"/>
      <c r="Q35" s="565"/>
      <c r="R35" s="565"/>
      <c r="S35" s="565"/>
      <c r="T35" s="565"/>
      <c r="U35" s="567" t="s">
        <v>208</v>
      </c>
      <c r="V35" s="567"/>
      <c r="W35" s="567"/>
      <c r="X35" s="567"/>
      <c r="Y35" s="567"/>
      <c r="Z35" s="567"/>
      <c r="AA35" s="567"/>
      <c r="AB35" s="567"/>
      <c r="AC35" s="567"/>
      <c r="AD35" s="567"/>
      <c r="AE35" s="567"/>
    </row>
    <row r="36" spans="1:31" ht="22.5" customHeight="1">
      <c r="A36" s="40"/>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row>
    <row r="37" spans="1:31" ht="57" customHeight="1">
      <c r="A37" s="568" t="s">
        <v>0</v>
      </c>
      <c r="B37" s="568"/>
      <c r="C37" s="568"/>
      <c r="D37" s="568"/>
      <c r="E37" s="568"/>
      <c r="F37" s="568"/>
      <c r="G37" s="568"/>
      <c r="H37" s="568"/>
      <c r="I37" s="568"/>
      <c r="J37" s="543" t="str">
        <f>HRIS!B4</f>
        <v xml:space="preserve">  </v>
      </c>
      <c r="K37" s="543"/>
      <c r="L37" s="543"/>
      <c r="M37" s="543"/>
      <c r="N37" s="543"/>
      <c r="O37" s="569"/>
      <c r="P37" s="569"/>
      <c r="Q37" s="569"/>
      <c r="R37" s="569"/>
      <c r="S37" s="569"/>
      <c r="T37" s="569"/>
      <c r="U37" s="41"/>
      <c r="V37" s="41"/>
      <c r="W37" s="41"/>
      <c r="X37" s="570" t="s">
        <v>836</v>
      </c>
      <c r="Y37" s="571"/>
      <c r="Z37" s="571"/>
      <c r="AA37" s="571"/>
      <c r="AB37" s="571"/>
      <c r="AC37" s="571"/>
      <c r="AD37" s="571"/>
      <c r="AE37" s="572"/>
    </row>
    <row r="38" spans="1:31" ht="48.75" customHeight="1">
      <c r="A38" s="579" t="s">
        <v>209</v>
      </c>
      <c r="B38" s="580"/>
      <c r="C38" s="580"/>
      <c r="D38" s="580"/>
      <c r="E38" s="580"/>
      <c r="F38" s="580"/>
      <c r="G38" s="580"/>
      <c r="H38" s="580"/>
      <c r="I38" s="580"/>
      <c r="J38" s="563">
        <f>HRIS!E64</f>
        <v>0</v>
      </c>
      <c r="K38" s="563"/>
      <c r="L38" s="563"/>
      <c r="M38" s="563"/>
      <c r="N38" s="563"/>
      <c r="O38" s="568" t="s">
        <v>210</v>
      </c>
      <c r="P38" s="568"/>
      <c r="Q38" s="581"/>
      <c r="R38" s="582">
        <f>HRIS!B68</f>
        <v>0</v>
      </c>
      <c r="S38" s="583"/>
      <c r="T38" s="583"/>
      <c r="U38" s="41"/>
      <c r="V38" s="41"/>
      <c r="W38" s="41"/>
      <c r="X38" s="573"/>
      <c r="Y38" s="574"/>
      <c r="Z38" s="574"/>
      <c r="AA38" s="574"/>
      <c r="AB38" s="574"/>
      <c r="AC38" s="574"/>
      <c r="AD38" s="574"/>
      <c r="AE38" s="575"/>
    </row>
    <row r="39" spans="1:31" ht="54.75" customHeight="1">
      <c r="A39" s="550" t="s">
        <v>190</v>
      </c>
      <c r="B39" s="551"/>
      <c r="C39" s="551"/>
      <c r="D39" s="551"/>
      <c r="E39" s="551"/>
      <c r="F39" s="551"/>
      <c r="G39" s="551"/>
      <c r="H39" s="551"/>
      <c r="I39" s="551"/>
      <c r="J39" s="563"/>
      <c r="K39" s="563"/>
      <c r="L39" s="563"/>
      <c r="M39" s="563"/>
      <c r="N39" s="563"/>
      <c r="O39" s="584" t="s">
        <v>191</v>
      </c>
      <c r="P39" s="585"/>
      <c r="Q39" s="585"/>
      <c r="R39" s="585"/>
      <c r="S39" s="585"/>
      <c r="T39" s="586"/>
      <c r="U39" s="41"/>
      <c r="V39" s="41"/>
      <c r="W39" s="41"/>
      <c r="X39" s="573"/>
      <c r="Y39" s="574"/>
      <c r="Z39" s="574"/>
      <c r="AA39" s="574"/>
      <c r="AB39" s="574"/>
      <c r="AC39" s="574"/>
      <c r="AD39" s="574"/>
      <c r="AE39" s="575"/>
    </row>
    <row r="40" spans="1:31" ht="57" customHeight="1">
      <c r="A40" s="564" t="s">
        <v>211</v>
      </c>
      <c r="B40" s="564"/>
      <c r="C40" s="564"/>
      <c r="D40" s="564"/>
      <c r="E40" s="564"/>
      <c r="F40" s="564"/>
      <c r="G40" s="564"/>
      <c r="H40" s="564"/>
      <c r="I40" s="564"/>
      <c r="J40" s="543"/>
      <c r="K40" s="543"/>
      <c r="L40" s="543"/>
      <c r="M40" s="543"/>
      <c r="N40" s="543"/>
      <c r="O40" s="543"/>
      <c r="P40" s="543"/>
      <c r="Q40" s="543"/>
      <c r="R40" s="543"/>
      <c r="S40" s="543"/>
      <c r="T40" s="543"/>
      <c r="U40" s="41"/>
      <c r="V40" s="41"/>
      <c r="W40" s="41"/>
      <c r="X40" s="576"/>
      <c r="Y40" s="577"/>
      <c r="Z40" s="577"/>
      <c r="AA40" s="577"/>
      <c r="AB40" s="577"/>
      <c r="AC40" s="577"/>
      <c r="AD40" s="577"/>
      <c r="AE40" s="578"/>
    </row>
    <row r="41" spans="1:31" ht="33" customHeight="1">
      <c r="A41" s="45"/>
      <c r="B41" s="45"/>
      <c r="C41" s="45"/>
      <c r="D41" s="45"/>
      <c r="E41" s="45"/>
      <c r="F41" s="45"/>
      <c r="G41" s="45"/>
      <c r="H41" s="45"/>
      <c r="I41" s="45"/>
      <c r="J41" s="46"/>
      <c r="K41" s="46"/>
      <c r="L41" s="46"/>
      <c r="M41" s="46"/>
      <c r="N41" s="46"/>
      <c r="O41" s="46"/>
      <c r="P41" s="46"/>
      <c r="Q41" s="46"/>
      <c r="R41" s="46"/>
      <c r="S41" s="46"/>
      <c r="T41" s="46"/>
      <c r="U41" s="41"/>
      <c r="V41" s="41"/>
      <c r="W41" s="41"/>
      <c r="X41" s="41"/>
      <c r="Y41" s="41"/>
      <c r="Z41" s="41"/>
      <c r="AA41" s="47"/>
      <c r="AB41" s="47"/>
      <c r="AC41" s="47"/>
      <c r="AD41" s="47"/>
      <c r="AE41" s="47"/>
    </row>
    <row r="42" spans="1:31" ht="27" customHeight="1">
      <c r="A42" s="558" t="s">
        <v>212</v>
      </c>
      <c r="B42" s="558"/>
      <c r="C42" s="558"/>
      <c r="D42" s="558"/>
      <c r="E42" s="558"/>
      <c r="F42" s="558"/>
      <c r="G42" s="558"/>
      <c r="H42" s="558"/>
      <c r="I42" s="558"/>
      <c r="J42" s="41"/>
      <c r="K42" s="41"/>
      <c r="L42" s="41"/>
      <c r="M42" s="41"/>
      <c r="N42" s="41"/>
      <c r="O42" s="41"/>
      <c r="P42" s="41"/>
      <c r="Q42" s="41"/>
      <c r="R42" s="41"/>
      <c r="S42" s="41"/>
      <c r="T42" s="41"/>
      <c r="U42" s="41"/>
      <c r="V42" s="41"/>
      <c r="W42" s="41"/>
      <c r="X42" s="41"/>
      <c r="Y42" s="41"/>
      <c r="Z42" s="41"/>
      <c r="AA42" s="41"/>
      <c r="AB42" s="41"/>
      <c r="AC42" s="41"/>
      <c r="AD42" s="41"/>
      <c r="AE42" s="41"/>
    </row>
    <row r="43" spans="1:31" ht="42" customHeight="1">
      <c r="A43" s="558" t="s">
        <v>213</v>
      </c>
      <c r="B43" s="558"/>
      <c r="C43" s="558"/>
      <c r="D43" s="558"/>
      <c r="E43" s="558"/>
      <c r="F43" s="558"/>
      <c r="G43" s="558"/>
      <c r="H43" s="558"/>
      <c r="I43" s="558"/>
      <c r="J43" s="565" t="s">
        <v>214</v>
      </c>
      <c r="K43" s="565"/>
      <c r="L43" s="565"/>
      <c r="M43" s="565"/>
      <c r="N43" s="565"/>
      <c r="O43" s="565"/>
      <c r="P43" s="565"/>
      <c r="Q43" s="565"/>
      <c r="R43" s="565"/>
      <c r="S43" s="565"/>
      <c r="T43" s="565"/>
      <c r="U43" s="41"/>
      <c r="V43" s="565" t="s">
        <v>215</v>
      </c>
      <c r="W43" s="565"/>
      <c r="X43" s="565"/>
      <c r="Y43" s="565"/>
      <c r="Z43" s="565"/>
      <c r="AA43" s="565"/>
      <c r="AB43" s="565"/>
      <c r="AC43" s="565"/>
      <c r="AD43" s="565"/>
      <c r="AE43" s="565"/>
    </row>
    <row r="44" spans="1:31" ht="34.5" customHeight="1">
      <c r="A44" s="557" t="s">
        <v>216</v>
      </c>
      <c r="B44" s="557"/>
      <c r="C44" s="557"/>
      <c r="D44" s="557"/>
      <c r="E44" s="557"/>
      <c r="F44" s="557"/>
      <c r="G44" s="557"/>
      <c r="H44" s="557"/>
      <c r="I44" s="557"/>
      <c r="J44" s="557"/>
      <c r="K44" s="557"/>
      <c r="L44" s="557"/>
      <c r="M44" s="557"/>
      <c r="N44" s="557"/>
      <c r="O44" s="557"/>
      <c r="P44" s="557"/>
      <c r="Q44" s="557"/>
      <c r="R44" s="557"/>
      <c r="S44" s="557"/>
      <c r="T44" s="557"/>
      <c r="U44" s="557"/>
      <c r="V44" s="557"/>
      <c r="W44" s="557"/>
      <c r="X44" s="557"/>
      <c r="Y44" s="557"/>
      <c r="Z44" s="557"/>
      <c r="AA44" s="557"/>
      <c r="AB44" s="557"/>
      <c r="AC44" s="557"/>
      <c r="AD44" s="557"/>
      <c r="AE44" s="557"/>
    </row>
    <row r="45" spans="1:31" ht="51" customHeight="1">
      <c r="A45" s="559" t="s">
        <v>217</v>
      </c>
      <c r="B45" s="559"/>
      <c r="C45" s="559"/>
      <c r="D45" s="559"/>
      <c r="E45" s="559"/>
      <c r="F45" s="559"/>
      <c r="G45" s="559"/>
      <c r="H45" s="559"/>
      <c r="I45" s="559"/>
      <c r="J45" s="559"/>
      <c r="K45" s="559"/>
      <c r="L45" s="559"/>
      <c r="M45" s="559"/>
      <c r="N45" s="559"/>
      <c r="O45" s="559"/>
      <c r="P45" s="559"/>
      <c r="Q45" s="559"/>
      <c r="R45" s="559"/>
      <c r="S45" s="559"/>
      <c r="T45" s="559"/>
      <c r="U45" s="559"/>
      <c r="V45" s="559"/>
      <c r="W45" s="559"/>
      <c r="X45" s="559"/>
      <c r="Y45" s="559"/>
      <c r="Z45" s="559"/>
      <c r="AA45" s="559"/>
      <c r="AB45" s="559"/>
      <c r="AC45" s="559"/>
      <c r="AD45" s="559"/>
      <c r="AE45" s="559"/>
    </row>
    <row r="46" spans="1:31" ht="51" customHeight="1">
      <c r="A46" s="559" t="s">
        <v>218</v>
      </c>
      <c r="B46" s="559"/>
      <c r="C46" s="559"/>
      <c r="D46" s="559"/>
      <c r="E46" s="559"/>
      <c r="F46" s="559"/>
      <c r="G46" s="559"/>
      <c r="H46" s="559"/>
      <c r="I46" s="559"/>
      <c r="J46" s="559"/>
      <c r="K46" s="559"/>
      <c r="L46" s="559"/>
      <c r="M46" s="559"/>
      <c r="N46" s="559"/>
      <c r="O46" s="559"/>
      <c r="P46" s="559"/>
      <c r="Q46" s="559"/>
      <c r="R46" s="559"/>
      <c r="S46" s="559"/>
      <c r="T46" s="559"/>
      <c r="U46" s="559"/>
      <c r="V46" s="559"/>
      <c r="W46" s="559"/>
      <c r="X46" s="559"/>
      <c r="Y46" s="559"/>
      <c r="Z46" s="559"/>
      <c r="AA46" s="559"/>
      <c r="AB46" s="559"/>
      <c r="AC46" s="559"/>
      <c r="AD46" s="559"/>
      <c r="AE46" s="559"/>
    </row>
    <row r="47" spans="1:31" ht="51.75" customHeight="1">
      <c r="A47" s="558" t="s">
        <v>219</v>
      </c>
      <c r="B47" s="558"/>
      <c r="C47" s="558"/>
      <c r="D47" s="558"/>
      <c r="E47" s="558"/>
      <c r="F47" s="558"/>
      <c r="G47" s="558"/>
      <c r="H47" s="558"/>
      <c r="I47" s="558"/>
      <c r="J47" s="558"/>
      <c r="K47" s="558"/>
      <c r="L47" s="558"/>
      <c r="M47" s="558"/>
      <c r="N47" s="558"/>
      <c r="O47" s="558"/>
      <c r="P47" s="558"/>
      <c r="Q47" s="558"/>
      <c r="R47" s="558"/>
      <c r="S47" s="558"/>
      <c r="T47" s="558"/>
      <c r="U47" s="558"/>
      <c r="V47" s="558"/>
      <c r="W47" s="558"/>
      <c r="X47" s="558"/>
      <c r="Y47" s="558"/>
      <c r="Z47" s="558"/>
      <c r="AA47" s="558"/>
      <c r="AB47" s="558"/>
      <c r="AC47" s="558"/>
      <c r="AD47" s="558"/>
      <c r="AE47" s="558"/>
    </row>
    <row r="48" spans="1:31" ht="61.5" customHeight="1">
      <c r="A48" s="558" t="s">
        <v>220</v>
      </c>
      <c r="B48" s="558"/>
      <c r="C48" s="558"/>
      <c r="D48" s="558"/>
      <c r="E48" s="558"/>
      <c r="F48" s="558"/>
      <c r="G48" s="558"/>
      <c r="H48" s="558"/>
      <c r="I48" s="558"/>
      <c r="J48" s="558"/>
      <c r="K48" s="558"/>
      <c r="L48" s="558"/>
      <c r="M48" s="558"/>
      <c r="N48" s="558"/>
      <c r="O48" s="558"/>
      <c r="P48" s="558"/>
      <c r="Q48" s="558"/>
      <c r="R48" s="558"/>
      <c r="S48" s="558"/>
      <c r="T48" s="558"/>
      <c r="U48" s="558"/>
      <c r="V48" s="558"/>
      <c r="W48" s="558"/>
      <c r="X48" s="558"/>
      <c r="Y48" s="558"/>
      <c r="Z48" s="558"/>
      <c r="AA48" s="558"/>
      <c r="AB48" s="558"/>
      <c r="AC48" s="558"/>
      <c r="AD48" s="558"/>
      <c r="AE48" s="558"/>
    </row>
    <row r="49" spans="1:32" ht="118.5" customHeight="1">
      <c r="A49" s="562" t="s">
        <v>221</v>
      </c>
      <c r="B49" s="562"/>
      <c r="C49" s="562"/>
      <c r="D49" s="562"/>
      <c r="E49" s="562"/>
      <c r="F49" s="562"/>
      <c r="G49" s="562"/>
      <c r="H49" s="562"/>
      <c r="I49" s="562"/>
      <c r="J49" s="562"/>
      <c r="K49" s="562"/>
      <c r="L49" s="562"/>
      <c r="M49" s="562"/>
      <c r="N49" s="562"/>
      <c r="O49" s="562"/>
      <c r="P49" s="562"/>
      <c r="Q49" s="562"/>
      <c r="R49" s="562"/>
      <c r="S49" s="562"/>
      <c r="T49" s="562"/>
      <c r="U49" s="562"/>
      <c r="V49" s="562"/>
      <c r="W49" s="562"/>
      <c r="X49" s="562"/>
      <c r="Y49" s="562"/>
      <c r="Z49" s="562"/>
      <c r="AA49" s="562"/>
      <c r="AB49" s="562"/>
      <c r="AC49" s="562"/>
      <c r="AD49" s="562"/>
      <c r="AE49" s="562"/>
    </row>
    <row r="50" spans="1:32" ht="48.75" customHeight="1">
      <c r="A50" s="559" t="s">
        <v>222</v>
      </c>
      <c r="B50" s="559"/>
      <c r="C50" s="559"/>
      <c r="D50" s="559"/>
      <c r="E50" s="559"/>
      <c r="F50" s="559"/>
      <c r="G50" s="559"/>
      <c r="H50" s="559"/>
      <c r="I50" s="559"/>
      <c r="J50" s="559"/>
      <c r="K50" s="559"/>
      <c r="L50" s="559"/>
      <c r="M50" s="559"/>
      <c r="N50" s="559"/>
      <c r="O50" s="559"/>
      <c r="P50" s="559"/>
      <c r="Q50" s="559"/>
      <c r="R50" s="559"/>
      <c r="S50" s="559"/>
      <c r="T50" s="559"/>
      <c r="U50" s="559"/>
      <c r="V50" s="559"/>
      <c r="W50" s="559"/>
      <c r="X50" s="559"/>
      <c r="Y50" s="559"/>
      <c r="Z50" s="559"/>
      <c r="AA50" s="559"/>
      <c r="AB50" s="559"/>
      <c r="AC50" s="559"/>
      <c r="AD50" s="559"/>
      <c r="AE50" s="559"/>
    </row>
    <row r="51" spans="1:32" ht="47.25" customHeight="1">
      <c r="A51" s="559" t="s">
        <v>223</v>
      </c>
      <c r="B51" s="559"/>
      <c r="C51" s="559"/>
      <c r="D51" s="559"/>
      <c r="E51" s="559"/>
      <c r="F51" s="559"/>
      <c r="G51" s="559"/>
      <c r="H51" s="559"/>
      <c r="I51" s="559"/>
      <c r="J51" s="559"/>
      <c r="K51" s="559"/>
      <c r="L51" s="559"/>
      <c r="M51" s="559"/>
      <c r="N51" s="559"/>
      <c r="O51" s="559"/>
      <c r="P51" s="559"/>
      <c r="Q51" s="559"/>
      <c r="R51" s="559"/>
      <c r="S51" s="559"/>
      <c r="T51" s="559"/>
      <c r="U51" s="559"/>
      <c r="V51" s="559"/>
      <c r="W51" s="559"/>
      <c r="X51" s="559"/>
      <c r="Y51" s="559"/>
      <c r="Z51" s="559"/>
      <c r="AA51" s="559"/>
      <c r="AB51" s="559"/>
      <c r="AC51" s="559"/>
      <c r="AD51" s="559"/>
      <c r="AE51" s="559"/>
    </row>
    <row r="52" spans="1:32" ht="56.25" customHeight="1">
      <c r="A52" s="559" t="s">
        <v>224</v>
      </c>
      <c r="B52" s="559"/>
      <c r="C52" s="559"/>
      <c r="D52" s="559"/>
      <c r="E52" s="559"/>
      <c r="F52" s="559"/>
      <c r="G52" s="559"/>
      <c r="H52" s="559"/>
      <c r="I52" s="559"/>
      <c r="J52" s="559"/>
      <c r="K52" s="559"/>
      <c r="L52" s="559"/>
      <c r="M52" s="559"/>
      <c r="N52" s="559"/>
      <c r="O52" s="559"/>
      <c r="P52" s="559"/>
      <c r="Q52" s="559"/>
      <c r="R52" s="559"/>
      <c r="S52" s="559"/>
      <c r="T52" s="559"/>
      <c r="U52" s="559"/>
      <c r="V52" s="559"/>
      <c r="W52" s="559"/>
      <c r="X52" s="559"/>
      <c r="Y52" s="559"/>
      <c r="Z52" s="559"/>
      <c r="AA52" s="559"/>
      <c r="AB52" s="559"/>
      <c r="AC52" s="559"/>
      <c r="AD52" s="559"/>
      <c r="AE52" s="559"/>
    </row>
    <row r="53" spans="1:32" ht="88.5" customHeight="1">
      <c r="A53" s="562" t="s">
        <v>225</v>
      </c>
      <c r="B53" s="562"/>
      <c r="C53" s="562"/>
      <c r="D53" s="562"/>
      <c r="E53" s="562"/>
      <c r="F53" s="562"/>
      <c r="G53" s="562"/>
      <c r="H53" s="562"/>
      <c r="I53" s="562"/>
      <c r="J53" s="562"/>
      <c r="K53" s="562"/>
      <c r="L53" s="562"/>
      <c r="M53" s="562"/>
      <c r="N53" s="562"/>
      <c r="O53" s="562"/>
      <c r="P53" s="562"/>
      <c r="Q53" s="562"/>
      <c r="R53" s="562"/>
      <c r="S53" s="562"/>
      <c r="T53" s="562"/>
      <c r="U53" s="562"/>
      <c r="V53" s="562"/>
      <c r="W53" s="562"/>
      <c r="X53" s="562"/>
      <c r="Y53" s="562"/>
      <c r="Z53" s="562"/>
      <c r="AA53" s="562"/>
      <c r="AB53" s="562"/>
      <c r="AC53" s="562"/>
      <c r="AD53" s="562"/>
      <c r="AE53" s="562"/>
    </row>
    <row r="54" spans="1:32" ht="115.5" customHeight="1">
      <c r="A54" s="562" t="s">
        <v>226</v>
      </c>
      <c r="B54" s="562"/>
      <c r="C54" s="562"/>
      <c r="D54" s="562"/>
      <c r="E54" s="562"/>
      <c r="F54" s="562"/>
      <c r="G54" s="562"/>
      <c r="H54" s="562"/>
      <c r="I54" s="562"/>
      <c r="J54" s="562"/>
      <c r="K54" s="562"/>
      <c r="L54" s="562"/>
      <c r="M54" s="562"/>
      <c r="N54" s="562"/>
      <c r="O54" s="562"/>
      <c r="P54" s="562"/>
      <c r="Q54" s="562"/>
      <c r="R54" s="562"/>
      <c r="S54" s="562"/>
      <c r="T54" s="562"/>
      <c r="U54" s="562"/>
      <c r="V54" s="562"/>
      <c r="W54" s="562"/>
      <c r="X54" s="562"/>
      <c r="Y54" s="562"/>
      <c r="Z54" s="562"/>
      <c r="AA54" s="562"/>
      <c r="AB54" s="562"/>
      <c r="AC54" s="562"/>
      <c r="AD54" s="562"/>
      <c r="AE54" s="562"/>
    </row>
    <row r="55" spans="1:32" ht="54" customHeight="1">
      <c r="A55" s="558" t="s">
        <v>227</v>
      </c>
      <c r="B55" s="558"/>
      <c r="C55" s="558"/>
      <c r="D55" s="558"/>
      <c r="E55" s="558"/>
      <c r="F55" s="558"/>
      <c r="G55" s="558"/>
      <c r="H55" s="558"/>
      <c r="I55" s="558"/>
      <c r="J55" s="558"/>
      <c r="K55" s="558"/>
      <c r="L55" s="558"/>
      <c r="M55" s="558"/>
      <c r="N55" s="558"/>
      <c r="O55" s="558"/>
      <c r="P55" s="558"/>
      <c r="Q55" s="558"/>
      <c r="R55" s="558"/>
      <c r="S55" s="558"/>
      <c r="T55" s="558"/>
      <c r="U55" s="558"/>
      <c r="V55" s="558"/>
      <c r="W55" s="558"/>
      <c r="X55" s="558"/>
      <c r="Y55" s="558"/>
      <c r="Z55" s="558"/>
      <c r="AA55" s="558"/>
      <c r="AB55" s="558"/>
      <c r="AC55" s="558"/>
      <c r="AD55" s="558"/>
      <c r="AE55" s="558"/>
    </row>
    <row r="56" spans="1:32" ht="57" customHeight="1">
      <c r="A56" s="559" t="s">
        <v>228</v>
      </c>
      <c r="B56" s="559"/>
      <c r="C56" s="559"/>
      <c r="D56" s="559"/>
      <c r="E56" s="559"/>
      <c r="F56" s="559"/>
      <c r="G56" s="559"/>
      <c r="H56" s="559"/>
      <c r="I56" s="559"/>
      <c r="J56" s="559"/>
      <c r="K56" s="559"/>
      <c r="L56" s="559"/>
      <c r="M56" s="559"/>
      <c r="N56" s="559"/>
      <c r="O56" s="559"/>
      <c r="P56" s="559"/>
      <c r="Q56" s="559"/>
      <c r="R56" s="559"/>
      <c r="S56" s="559"/>
      <c r="T56" s="559"/>
      <c r="U56" s="559"/>
      <c r="V56" s="559"/>
      <c r="W56" s="559"/>
      <c r="X56" s="559"/>
      <c r="Y56" s="559"/>
      <c r="Z56" s="559"/>
      <c r="AA56" s="559"/>
      <c r="AB56" s="559"/>
      <c r="AC56" s="559"/>
      <c r="AD56" s="559"/>
      <c r="AE56" s="559"/>
    </row>
    <row r="57" spans="1:32" ht="18"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row>
    <row r="58" spans="1:32" ht="36.75" customHeight="1">
      <c r="A58" s="560" t="s">
        <v>229</v>
      </c>
      <c r="B58" s="561"/>
      <c r="C58" s="561"/>
      <c r="D58" s="561"/>
      <c r="E58" s="561"/>
      <c r="F58" s="561"/>
      <c r="G58" s="561"/>
      <c r="H58" s="561"/>
      <c r="I58" s="561"/>
      <c r="J58" s="561"/>
      <c r="K58" s="561"/>
      <c r="L58" s="561"/>
      <c r="M58" s="561"/>
      <c r="N58" s="561"/>
      <c r="O58" s="561"/>
      <c r="P58" s="561"/>
      <c r="Q58" s="561"/>
      <c r="R58" s="561"/>
      <c r="S58" s="561"/>
      <c r="T58" s="561"/>
      <c r="U58" s="561"/>
      <c r="V58" s="561"/>
      <c r="W58" s="561"/>
      <c r="X58" s="561"/>
      <c r="Y58" s="561"/>
      <c r="Z58" s="561"/>
      <c r="AA58" s="561"/>
      <c r="AB58" s="561"/>
      <c r="AC58" s="561"/>
      <c r="AD58" s="561"/>
      <c r="AE58" s="561"/>
    </row>
    <row r="59" spans="1:32" ht="57" customHeight="1">
      <c r="A59" s="48">
        <v>1</v>
      </c>
      <c r="B59" s="555" t="s">
        <v>230</v>
      </c>
      <c r="C59" s="555"/>
      <c r="D59" s="555"/>
      <c r="E59" s="555"/>
      <c r="F59" s="555"/>
      <c r="G59" s="555"/>
      <c r="H59" s="555"/>
      <c r="I59" s="542"/>
      <c r="J59" s="542"/>
      <c r="K59" s="542"/>
      <c r="L59" s="542"/>
      <c r="M59" s="542"/>
      <c r="N59" s="542"/>
      <c r="O59" s="542"/>
      <c r="P59" s="542"/>
      <c r="Q59" s="542"/>
      <c r="R59" s="542"/>
      <c r="S59" s="542"/>
      <c r="T59" s="542"/>
      <c r="U59" s="542"/>
      <c r="V59" s="542"/>
      <c r="W59" s="542"/>
      <c r="X59" s="542"/>
      <c r="Y59" s="542"/>
      <c r="Z59" s="542"/>
      <c r="AA59" s="542"/>
      <c r="AB59" s="542"/>
      <c r="AC59" s="542"/>
      <c r="AD59" s="542"/>
      <c r="AE59" s="542"/>
    </row>
    <row r="60" spans="1:32" ht="63.75" customHeight="1">
      <c r="A60" s="48">
        <v>2</v>
      </c>
      <c r="B60" s="555" t="s">
        <v>231</v>
      </c>
      <c r="C60" s="555"/>
      <c r="D60" s="555"/>
      <c r="E60" s="555"/>
      <c r="F60" s="555"/>
      <c r="G60" s="555"/>
      <c r="H60" s="555"/>
      <c r="I60" s="542"/>
      <c r="J60" s="542"/>
      <c r="K60" s="542"/>
      <c r="L60" s="542"/>
      <c r="M60" s="542"/>
      <c r="N60" s="542"/>
      <c r="O60" s="542"/>
      <c r="P60" s="542"/>
      <c r="Q60" s="542"/>
      <c r="R60" s="542"/>
      <c r="S60" s="542"/>
      <c r="T60" s="542"/>
      <c r="U60" s="542"/>
      <c r="V60" s="542"/>
      <c r="W60" s="542"/>
      <c r="X60" s="542"/>
      <c r="Y60" s="542"/>
      <c r="Z60" s="542"/>
      <c r="AA60" s="542"/>
      <c r="AB60" s="542"/>
      <c r="AC60" s="542"/>
      <c r="AD60" s="542"/>
      <c r="AE60" s="542"/>
    </row>
    <row r="61" spans="1:32" ht="66.75" customHeight="1">
      <c r="A61" s="48">
        <v>3</v>
      </c>
      <c r="B61" s="555" t="s">
        <v>232</v>
      </c>
      <c r="C61" s="555"/>
      <c r="D61" s="555"/>
      <c r="E61" s="555"/>
      <c r="F61" s="555"/>
      <c r="G61" s="555"/>
      <c r="H61" s="555"/>
      <c r="I61" s="542"/>
      <c r="J61" s="542"/>
      <c r="K61" s="542"/>
      <c r="L61" s="542"/>
      <c r="M61" s="542"/>
      <c r="N61" s="542"/>
      <c r="O61" s="542"/>
      <c r="P61" s="542"/>
      <c r="Q61" s="542"/>
      <c r="R61" s="542"/>
      <c r="S61" s="542"/>
      <c r="T61" s="542"/>
      <c r="U61" s="542"/>
      <c r="V61" s="542"/>
      <c r="W61" s="542"/>
      <c r="X61" s="542"/>
      <c r="Y61" s="542"/>
      <c r="Z61" s="542"/>
      <c r="AA61" s="542"/>
      <c r="AB61" s="542"/>
      <c r="AC61" s="542"/>
      <c r="AD61" s="542"/>
      <c r="AE61" s="542"/>
    </row>
    <row r="62" spans="1:32" ht="99" customHeight="1">
      <c r="A62" s="48">
        <v>4</v>
      </c>
      <c r="B62" s="555" t="s">
        <v>233</v>
      </c>
      <c r="C62" s="555"/>
      <c r="D62" s="555"/>
      <c r="E62" s="555"/>
      <c r="F62" s="555"/>
      <c r="G62" s="555"/>
      <c r="H62" s="555"/>
      <c r="I62" s="555"/>
      <c r="J62" s="555"/>
      <c r="K62" s="555"/>
      <c r="L62" s="555"/>
      <c r="M62" s="555"/>
      <c r="N62" s="555"/>
      <c r="O62" s="555"/>
      <c r="P62" s="555"/>
      <c r="Q62" s="555"/>
      <c r="R62" s="555"/>
      <c r="S62" s="555"/>
      <c r="T62" s="542"/>
      <c r="U62" s="542"/>
      <c r="V62" s="542"/>
      <c r="W62" s="542"/>
      <c r="X62" s="542"/>
      <c r="Y62" s="542"/>
      <c r="Z62" s="542"/>
      <c r="AA62" s="542"/>
      <c r="AB62" s="542"/>
      <c r="AC62" s="542"/>
      <c r="AD62" s="542"/>
      <c r="AE62" s="542"/>
    </row>
    <row r="63" spans="1:32" ht="105.75" customHeight="1">
      <c r="A63" s="40"/>
      <c r="B63" s="41"/>
      <c r="C63" s="41"/>
      <c r="D63" s="41"/>
      <c r="E63" s="41"/>
      <c r="F63" s="41"/>
      <c r="G63" s="41"/>
      <c r="H63" s="41"/>
      <c r="I63" s="41"/>
      <c r="J63" s="41"/>
      <c r="K63" s="41"/>
      <c r="L63" s="41"/>
      <c r="M63" s="41"/>
      <c r="N63" s="41"/>
      <c r="O63" s="41"/>
      <c r="P63" s="41"/>
      <c r="Q63" s="41"/>
      <c r="R63" s="41"/>
      <c r="S63" s="41"/>
      <c r="T63" s="556" t="s">
        <v>315</v>
      </c>
      <c r="U63" s="556"/>
      <c r="V63" s="556"/>
      <c r="W63" s="556"/>
      <c r="X63" s="556"/>
      <c r="Y63" s="556"/>
      <c r="Z63" s="556"/>
      <c r="AA63" s="556"/>
      <c r="AB63" s="556"/>
      <c r="AC63" s="556"/>
      <c r="AD63" s="556"/>
      <c r="AE63" s="556"/>
      <c r="AF63" s="49"/>
    </row>
    <row r="64" spans="1:32" ht="34.5" customHeight="1">
      <c r="A64" s="557" t="s">
        <v>234</v>
      </c>
      <c r="B64" s="557"/>
      <c r="C64" s="557"/>
      <c r="D64" s="557"/>
      <c r="E64" s="557"/>
      <c r="F64" s="557"/>
      <c r="G64" s="557"/>
      <c r="H64" s="557"/>
      <c r="I64" s="557"/>
      <c r="J64" s="557"/>
      <c r="K64" s="557"/>
      <c r="L64" s="557"/>
      <c r="M64" s="557"/>
      <c r="N64" s="557"/>
      <c r="O64" s="557"/>
      <c r="P64" s="557"/>
      <c r="Q64" s="557"/>
      <c r="R64" s="557"/>
      <c r="S64" s="557"/>
      <c r="T64" s="557"/>
      <c r="U64" s="557"/>
      <c r="V64" s="557"/>
      <c r="W64" s="557"/>
      <c r="X64" s="557"/>
      <c r="Y64" s="557"/>
      <c r="Z64" s="557"/>
      <c r="AA64" s="557"/>
      <c r="AB64" s="557"/>
      <c r="AC64" s="557"/>
      <c r="AD64" s="557"/>
      <c r="AE64" s="557"/>
    </row>
    <row r="65" spans="1:31" ht="34.5" customHeight="1">
      <c r="A65" s="50"/>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row>
    <row r="66" spans="1:31" ht="105.75" customHeight="1">
      <c r="A66" s="51" t="s">
        <v>197</v>
      </c>
      <c r="B66" s="550" t="s">
        <v>0</v>
      </c>
      <c r="C66" s="551"/>
      <c r="D66" s="551"/>
      <c r="E66" s="551"/>
      <c r="F66" s="551"/>
      <c r="G66" s="551"/>
      <c r="H66" s="551"/>
      <c r="I66" s="551"/>
      <c r="J66" s="544" t="s">
        <v>198</v>
      </c>
      <c r="K66" s="545"/>
      <c r="L66" s="545"/>
      <c r="M66" s="545"/>
      <c r="N66" s="545"/>
      <c r="O66" s="545"/>
      <c r="P66" s="546"/>
      <c r="Q66" s="543" t="s">
        <v>199</v>
      </c>
      <c r="R66" s="543"/>
      <c r="S66" s="543"/>
      <c r="T66" s="543"/>
      <c r="U66" s="544" t="s">
        <v>200</v>
      </c>
      <c r="V66" s="545"/>
      <c r="W66" s="545"/>
      <c r="X66" s="545"/>
      <c r="Y66" s="545"/>
      <c r="Z66" s="546"/>
      <c r="AA66" s="543" t="s">
        <v>201</v>
      </c>
      <c r="AB66" s="543"/>
      <c r="AC66" s="543"/>
      <c r="AD66" s="543"/>
      <c r="AE66" s="543"/>
    </row>
    <row r="67" spans="1:31" ht="50.25" customHeight="1">
      <c r="A67" s="44"/>
      <c r="B67" s="543"/>
      <c r="C67" s="543"/>
      <c r="D67" s="543"/>
      <c r="E67" s="543"/>
      <c r="F67" s="543"/>
      <c r="G67" s="543"/>
      <c r="H67" s="543"/>
      <c r="I67" s="543"/>
      <c r="J67" s="544"/>
      <c r="K67" s="545"/>
      <c r="L67" s="545"/>
      <c r="M67" s="545"/>
      <c r="N67" s="545"/>
      <c r="O67" s="545"/>
      <c r="P67" s="546"/>
      <c r="Q67" s="543"/>
      <c r="R67" s="543"/>
      <c r="S67" s="543"/>
      <c r="T67" s="543"/>
      <c r="U67" s="552" t="s">
        <v>202</v>
      </c>
      <c r="V67" s="552"/>
      <c r="W67" s="553"/>
      <c r="X67" s="554" t="s">
        <v>203</v>
      </c>
      <c r="Y67" s="552"/>
      <c r="Z67" s="552"/>
      <c r="AA67" s="542" t="s">
        <v>204</v>
      </c>
      <c r="AB67" s="542"/>
      <c r="AC67" s="542"/>
      <c r="AD67" s="542" t="s">
        <v>205</v>
      </c>
      <c r="AE67" s="542"/>
    </row>
    <row r="68" spans="1:31" ht="71.25" customHeight="1">
      <c r="A68" s="44">
        <v>1</v>
      </c>
      <c r="B68" s="543"/>
      <c r="C68" s="543"/>
      <c r="D68" s="543"/>
      <c r="E68" s="543"/>
      <c r="F68" s="543"/>
      <c r="G68" s="543"/>
      <c r="H68" s="543"/>
      <c r="I68" s="543"/>
      <c r="J68" s="544"/>
      <c r="K68" s="545"/>
      <c r="L68" s="545"/>
      <c r="M68" s="545"/>
      <c r="N68" s="545"/>
      <c r="O68" s="545"/>
      <c r="P68" s="546"/>
      <c r="Q68" s="543"/>
      <c r="R68" s="543"/>
      <c r="S68" s="543"/>
      <c r="T68" s="543"/>
      <c r="U68" s="547"/>
      <c r="V68" s="547"/>
      <c r="W68" s="548"/>
      <c r="X68" s="549"/>
      <c r="Y68" s="547"/>
      <c r="Z68" s="547"/>
      <c r="AA68" s="542"/>
      <c r="AB68" s="542"/>
      <c r="AC68" s="542"/>
      <c r="AD68" s="542"/>
      <c r="AE68" s="542"/>
    </row>
    <row r="69" spans="1:31" ht="61.5" customHeight="1">
      <c r="A69" s="44">
        <v>2</v>
      </c>
      <c r="B69" s="543"/>
      <c r="C69" s="543"/>
      <c r="D69" s="543"/>
      <c r="E69" s="543"/>
      <c r="F69" s="543"/>
      <c r="G69" s="543"/>
      <c r="H69" s="543"/>
      <c r="I69" s="543"/>
      <c r="J69" s="544"/>
      <c r="K69" s="545"/>
      <c r="L69" s="545"/>
      <c r="M69" s="545"/>
      <c r="N69" s="545"/>
      <c r="O69" s="545"/>
      <c r="P69" s="546"/>
      <c r="Q69" s="543"/>
      <c r="R69" s="543"/>
      <c r="S69" s="543"/>
      <c r="T69" s="543"/>
      <c r="U69" s="547"/>
      <c r="V69" s="547"/>
      <c r="W69" s="548"/>
      <c r="X69" s="549"/>
      <c r="Y69" s="547"/>
      <c r="Z69" s="547"/>
      <c r="AA69" s="542"/>
      <c r="AB69" s="542"/>
      <c r="AC69" s="542"/>
      <c r="AD69" s="542"/>
      <c r="AE69" s="542"/>
    </row>
    <row r="70" spans="1:31" ht="58.5" customHeight="1">
      <c r="A70" s="44">
        <v>3</v>
      </c>
      <c r="B70" s="543"/>
      <c r="C70" s="543"/>
      <c r="D70" s="543"/>
      <c r="E70" s="543"/>
      <c r="F70" s="543"/>
      <c r="G70" s="543"/>
      <c r="H70" s="543"/>
      <c r="I70" s="543"/>
      <c r="J70" s="544"/>
      <c r="K70" s="545"/>
      <c r="L70" s="545"/>
      <c r="M70" s="545"/>
      <c r="N70" s="545"/>
      <c r="O70" s="545"/>
      <c r="P70" s="546"/>
      <c r="Q70" s="543"/>
      <c r="R70" s="543"/>
      <c r="S70" s="543"/>
      <c r="T70" s="543"/>
      <c r="U70" s="547"/>
      <c r="V70" s="547"/>
      <c r="W70" s="548"/>
      <c r="X70" s="549"/>
      <c r="Y70" s="547"/>
      <c r="Z70" s="547"/>
      <c r="AA70" s="542"/>
      <c r="AB70" s="542"/>
      <c r="AC70" s="542"/>
      <c r="AD70" s="542"/>
      <c r="AE70" s="542"/>
    </row>
    <row r="71" spans="1:31" ht="64.5" customHeight="1">
      <c r="A71" s="44">
        <v>4</v>
      </c>
      <c r="B71" s="543"/>
      <c r="C71" s="543"/>
      <c r="D71" s="543"/>
      <c r="E71" s="543"/>
      <c r="F71" s="543"/>
      <c r="G71" s="543"/>
      <c r="H71" s="543"/>
      <c r="I71" s="543"/>
      <c r="J71" s="544"/>
      <c r="K71" s="545"/>
      <c r="L71" s="545"/>
      <c r="M71" s="545"/>
      <c r="N71" s="545"/>
      <c r="O71" s="545"/>
      <c r="P71" s="546"/>
      <c r="Q71" s="543"/>
      <c r="R71" s="543"/>
      <c r="S71" s="543"/>
      <c r="T71" s="543"/>
      <c r="U71" s="547"/>
      <c r="V71" s="547"/>
      <c r="W71" s="548"/>
      <c r="X71" s="549"/>
      <c r="Y71" s="547"/>
      <c r="Z71" s="547"/>
      <c r="AA71" s="542"/>
      <c r="AB71" s="542"/>
      <c r="AC71" s="542"/>
      <c r="AD71" s="542"/>
      <c r="AE71" s="542"/>
    </row>
    <row r="72" spans="1:31" ht="73.5" customHeight="1">
      <c r="A72" s="44">
        <v>5</v>
      </c>
      <c r="B72" s="543"/>
      <c r="C72" s="543"/>
      <c r="D72" s="543"/>
      <c r="E72" s="543"/>
      <c r="F72" s="543"/>
      <c r="G72" s="543"/>
      <c r="H72" s="543"/>
      <c r="I72" s="543"/>
      <c r="J72" s="544"/>
      <c r="K72" s="545"/>
      <c r="L72" s="545"/>
      <c r="M72" s="545"/>
      <c r="N72" s="545"/>
      <c r="O72" s="545"/>
      <c r="P72" s="546"/>
      <c r="Q72" s="543"/>
      <c r="R72" s="543"/>
      <c r="S72" s="543"/>
      <c r="T72" s="543"/>
      <c r="U72" s="547"/>
      <c r="V72" s="547"/>
      <c r="W72" s="548"/>
      <c r="X72" s="549"/>
      <c r="Y72" s="547"/>
      <c r="Z72" s="547"/>
      <c r="AA72" s="542"/>
      <c r="AB72" s="542"/>
      <c r="AC72" s="542"/>
      <c r="AD72" s="542"/>
      <c r="AE72" s="542"/>
    </row>
  </sheetData>
  <mergeCells count="206">
    <mergeCell ref="B1:G3"/>
    <mergeCell ref="I2:AE2"/>
    <mergeCell ref="AB3:AE3"/>
    <mergeCell ref="A4:AE4"/>
    <mergeCell ref="A6:B6"/>
    <mergeCell ref="C6:Q6"/>
    <mergeCell ref="S6:T6"/>
    <mergeCell ref="U6:AE6"/>
    <mergeCell ref="U8:AE8"/>
    <mergeCell ref="A9:B9"/>
    <mergeCell ref="L9:N9"/>
    <mergeCell ref="S9:AE9"/>
    <mergeCell ref="A7:B7"/>
    <mergeCell ref="C7:Q7"/>
    <mergeCell ref="S7:T8"/>
    <mergeCell ref="U7:X7"/>
    <mergeCell ref="Y7:AB7"/>
    <mergeCell ref="AC7:AE7"/>
    <mergeCell ref="A8:B8"/>
    <mergeCell ref="C8:Q8"/>
    <mergeCell ref="C9:K9"/>
    <mergeCell ref="O9:Q9"/>
    <mergeCell ref="A11:G11"/>
    <mergeCell ref="H11:Q11"/>
    <mergeCell ref="S11:AE11"/>
    <mergeCell ref="A12:G12"/>
    <mergeCell ref="H12:Q12"/>
    <mergeCell ref="S12:U12"/>
    <mergeCell ref="V12:AE12"/>
    <mergeCell ref="A10:B10"/>
    <mergeCell ref="C10:E10"/>
    <mergeCell ref="F10:H10"/>
    <mergeCell ref="I10:K10"/>
    <mergeCell ref="L10:N10"/>
    <mergeCell ref="S10:AE10"/>
    <mergeCell ref="O10:Q10"/>
    <mergeCell ref="A13:G13"/>
    <mergeCell ref="H13:Q13"/>
    <mergeCell ref="S13:U13"/>
    <mergeCell ref="V13:AE13"/>
    <mergeCell ref="A14:B14"/>
    <mergeCell ref="C14:G14"/>
    <mergeCell ref="H14:L14"/>
    <mergeCell ref="M14:Q14"/>
    <mergeCell ref="S14:AE14"/>
    <mergeCell ref="A17:G17"/>
    <mergeCell ref="H17:Q17"/>
    <mergeCell ref="S17:V17"/>
    <mergeCell ref="W17:AE17"/>
    <mergeCell ref="A18:AE18"/>
    <mergeCell ref="A19:G19"/>
    <mergeCell ref="H19:L19"/>
    <mergeCell ref="M19:AE19"/>
    <mergeCell ref="A15:B15"/>
    <mergeCell ref="C15:G15"/>
    <mergeCell ref="H15:L15"/>
    <mergeCell ref="M15:Q15"/>
    <mergeCell ref="S15:AE16"/>
    <mergeCell ref="A16:G16"/>
    <mergeCell ref="H16:Q16"/>
    <mergeCell ref="A24:H24"/>
    <mergeCell ref="Z24:AE24"/>
    <mergeCell ref="B27:I27"/>
    <mergeCell ref="J27:P27"/>
    <mergeCell ref="Q27:T27"/>
    <mergeCell ref="U27:Z27"/>
    <mergeCell ref="AA27:AE27"/>
    <mergeCell ref="A20:G20"/>
    <mergeCell ref="H20:L20"/>
    <mergeCell ref="M20:AE20"/>
    <mergeCell ref="A21:AE21"/>
    <mergeCell ref="A23:H23"/>
    <mergeCell ref="V23:AE23"/>
    <mergeCell ref="AD28:AE28"/>
    <mergeCell ref="B29:I29"/>
    <mergeCell ref="J29:P29"/>
    <mergeCell ref="Q29:T29"/>
    <mergeCell ref="U29:W29"/>
    <mergeCell ref="X29:Z29"/>
    <mergeCell ref="AA29:AC29"/>
    <mergeCell ref="AD29:AE29"/>
    <mergeCell ref="B28:I28"/>
    <mergeCell ref="J28:P28"/>
    <mergeCell ref="Q28:T28"/>
    <mergeCell ref="U28:W28"/>
    <mergeCell ref="X28:Z28"/>
    <mergeCell ref="AA28:AC28"/>
    <mergeCell ref="AD30:AE30"/>
    <mergeCell ref="B31:I31"/>
    <mergeCell ref="J31:P31"/>
    <mergeCell ref="Q31:T31"/>
    <mergeCell ref="U31:W31"/>
    <mergeCell ref="X31:Z31"/>
    <mergeCell ref="AA31:AC31"/>
    <mergeCell ref="AD31:AE31"/>
    <mergeCell ref="B30:I30"/>
    <mergeCell ref="J30:P30"/>
    <mergeCell ref="Q30:T30"/>
    <mergeCell ref="U30:W30"/>
    <mergeCell ref="X30:Z30"/>
    <mergeCell ref="AA30:AC30"/>
    <mergeCell ref="AD32:AE32"/>
    <mergeCell ref="B33:I33"/>
    <mergeCell ref="J33:P33"/>
    <mergeCell ref="Q33:T33"/>
    <mergeCell ref="U33:W33"/>
    <mergeCell ref="X33:Z33"/>
    <mergeCell ref="AA33:AC33"/>
    <mergeCell ref="AD33:AE33"/>
    <mergeCell ref="B32:I32"/>
    <mergeCell ref="J32:P32"/>
    <mergeCell ref="Q32:T32"/>
    <mergeCell ref="U32:W32"/>
    <mergeCell ref="X32:Z32"/>
    <mergeCell ref="AA32:AC32"/>
    <mergeCell ref="J39:N39"/>
    <mergeCell ref="A40:I40"/>
    <mergeCell ref="J40:T40"/>
    <mergeCell ref="A42:I42"/>
    <mergeCell ref="A43:I43"/>
    <mergeCell ref="J43:T43"/>
    <mergeCell ref="A34:AE34"/>
    <mergeCell ref="J35:T35"/>
    <mergeCell ref="U35:AE35"/>
    <mergeCell ref="A37:I37"/>
    <mergeCell ref="J37:T37"/>
    <mergeCell ref="X37:AE40"/>
    <mergeCell ref="A38:I38"/>
    <mergeCell ref="J38:N38"/>
    <mergeCell ref="A39:I39"/>
    <mergeCell ref="V43:AE43"/>
    <mergeCell ref="O38:Q38"/>
    <mergeCell ref="R38:T38"/>
    <mergeCell ref="O39:P39"/>
    <mergeCell ref="Q39:T39"/>
    <mergeCell ref="A49:AE49"/>
    <mergeCell ref="A50:AE50"/>
    <mergeCell ref="A51:AE51"/>
    <mergeCell ref="A52:AE52"/>
    <mergeCell ref="A53:AE53"/>
    <mergeCell ref="A54:AE54"/>
    <mergeCell ref="A44:AE44"/>
    <mergeCell ref="A45:AE45"/>
    <mergeCell ref="A46:AE46"/>
    <mergeCell ref="A47:AE47"/>
    <mergeCell ref="A48:AE48"/>
    <mergeCell ref="B61:H61"/>
    <mergeCell ref="I61:AE61"/>
    <mergeCell ref="B62:S62"/>
    <mergeCell ref="T62:AE62"/>
    <mergeCell ref="T63:AE63"/>
    <mergeCell ref="A64:AE64"/>
    <mergeCell ref="A55:AE55"/>
    <mergeCell ref="A56:AE56"/>
    <mergeCell ref="A58:AE58"/>
    <mergeCell ref="B59:H59"/>
    <mergeCell ref="I59:AE59"/>
    <mergeCell ref="B60:H60"/>
    <mergeCell ref="I60:AE60"/>
    <mergeCell ref="B66:I66"/>
    <mergeCell ref="J66:P66"/>
    <mergeCell ref="Q66:T66"/>
    <mergeCell ref="U66:Z66"/>
    <mergeCell ref="AA66:AE66"/>
    <mergeCell ref="B67:I67"/>
    <mergeCell ref="J67:P67"/>
    <mergeCell ref="Q67:T67"/>
    <mergeCell ref="U67:W67"/>
    <mergeCell ref="X67:Z67"/>
    <mergeCell ref="AA67:AC67"/>
    <mergeCell ref="AD67:AE67"/>
    <mergeCell ref="B68:I68"/>
    <mergeCell ref="J68:P68"/>
    <mergeCell ref="Q68:T68"/>
    <mergeCell ref="U68:W68"/>
    <mergeCell ref="X68:Z68"/>
    <mergeCell ref="AA68:AC68"/>
    <mergeCell ref="AD68:AE68"/>
    <mergeCell ref="AD69:AE69"/>
    <mergeCell ref="B70:I70"/>
    <mergeCell ref="J70:P70"/>
    <mergeCell ref="Q70:T70"/>
    <mergeCell ref="U70:W70"/>
    <mergeCell ref="X70:Z70"/>
    <mergeCell ref="AA70:AC70"/>
    <mergeCell ref="AD70:AE70"/>
    <mergeCell ref="B69:I69"/>
    <mergeCell ref="J69:P69"/>
    <mergeCell ref="Q69:T69"/>
    <mergeCell ref="U69:W69"/>
    <mergeCell ref="X69:Z69"/>
    <mergeCell ref="AA69:AC69"/>
    <mergeCell ref="AD71:AE71"/>
    <mergeCell ref="B72:I72"/>
    <mergeCell ref="J72:P72"/>
    <mergeCell ref="Q72:T72"/>
    <mergeCell ref="U72:W72"/>
    <mergeCell ref="X72:Z72"/>
    <mergeCell ref="AA72:AC72"/>
    <mergeCell ref="AD72:AE72"/>
    <mergeCell ref="B71:I71"/>
    <mergeCell ref="J71:P71"/>
    <mergeCell ref="Q71:T71"/>
    <mergeCell ref="U71:W71"/>
    <mergeCell ref="X71:Z71"/>
    <mergeCell ref="AA71:AC71"/>
  </mergeCells>
  <pageMargins left="0.7" right="0.7" top="0.75" bottom="0.75" header="0.3" footer="0.3"/>
  <pageSetup paperSize="9" scale="30" orientation="portrait" r:id="rId1"/>
  <rowBreaks count="1" manualBreakCount="1">
    <brk id="43" max="2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pageSetUpPr autoPageBreaks="0" fitToPage="1"/>
  </sheetPr>
  <dimension ref="A1:D35"/>
  <sheetViews>
    <sheetView showGridLines="0" view="pageBreakPreview" zoomScale="70" zoomScaleSheetLayoutView="70" workbookViewId="0">
      <selection activeCell="D22" sqref="D22"/>
    </sheetView>
  </sheetViews>
  <sheetFormatPr defaultRowHeight="12.5"/>
  <cols>
    <col min="1" max="1" width="3.453125" style="59" bestFit="1" customWidth="1"/>
    <col min="2" max="2" width="50" style="59" bestFit="1" customWidth="1"/>
    <col min="3" max="3" width="1.6328125" style="59" bestFit="1" customWidth="1"/>
    <col min="4" max="4" width="53.453125" style="59" customWidth="1"/>
    <col min="5" max="256" width="9.08984375" style="59"/>
    <col min="257" max="257" width="2.08984375" style="59" bestFit="1" customWidth="1"/>
    <col min="258" max="258" width="50" style="59" bestFit="1" customWidth="1"/>
    <col min="259" max="259" width="1.6328125" style="59" bestFit="1" customWidth="1"/>
    <col min="260" max="260" width="53.453125" style="59" customWidth="1"/>
    <col min="261" max="512" width="9.08984375" style="59"/>
    <col min="513" max="513" width="2.08984375" style="59" bestFit="1" customWidth="1"/>
    <col min="514" max="514" width="50" style="59" bestFit="1" customWidth="1"/>
    <col min="515" max="515" width="1.6328125" style="59" bestFit="1" customWidth="1"/>
    <col min="516" max="516" width="53.453125" style="59" customWidth="1"/>
    <col min="517" max="768" width="9.08984375" style="59"/>
    <col min="769" max="769" width="2.08984375" style="59" bestFit="1" customWidth="1"/>
    <col min="770" max="770" width="50" style="59" bestFit="1" customWidth="1"/>
    <col min="771" max="771" width="1.6328125" style="59" bestFit="1" customWidth="1"/>
    <col min="772" max="772" width="53.453125" style="59" customWidth="1"/>
    <col min="773" max="1024" width="9.08984375" style="59"/>
    <col min="1025" max="1025" width="2.08984375" style="59" bestFit="1" customWidth="1"/>
    <col min="1026" max="1026" width="50" style="59" bestFit="1" customWidth="1"/>
    <col min="1027" max="1027" width="1.6328125" style="59" bestFit="1" customWidth="1"/>
    <col min="1028" max="1028" width="53.453125" style="59" customWidth="1"/>
    <col min="1029" max="1280" width="9.08984375" style="59"/>
    <col min="1281" max="1281" width="2.08984375" style="59" bestFit="1" customWidth="1"/>
    <col min="1282" max="1282" width="50" style="59" bestFit="1" customWidth="1"/>
    <col min="1283" max="1283" width="1.6328125" style="59" bestFit="1" customWidth="1"/>
    <col min="1284" max="1284" width="53.453125" style="59" customWidth="1"/>
    <col min="1285" max="1536" width="9.08984375" style="59"/>
    <col min="1537" max="1537" width="2.08984375" style="59" bestFit="1" customWidth="1"/>
    <col min="1538" max="1538" width="50" style="59" bestFit="1" customWidth="1"/>
    <col min="1539" max="1539" width="1.6328125" style="59" bestFit="1" customWidth="1"/>
    <col min="1540" max="1540" width="53.453125" style="59" customWidth="1"/>
    <col min="1541" max="1792" width="9.08984375" style="59"/>
    <col min="1793" max="1793" width="2.08984375" style="59" bestFit="1" customWidth="1"/>
    <col min="1794" max="1794" width="50" style="59" bestFit="1" customWidth="1"/>
    <col min="1795" max="1795" width="1.6328125" style="59" bestFit="1" customWidth="1"/>
    <col min="1796" max="1796" width="53.453125" style="59" customWidth="1"/>
    <col min="1797" max="2048" width="9.08984375" style="59"/>
    <col min="2049" max="2049" width="2.08984375" style="59" bestFit="1" customWidth="1"/>
    <col min="2050" max="2050" width="50" style="59" bestFit="1" customWidth="1"/>
    <col min="2051" max="2051" width="1.6328125" style="59" bestFit="1" customWidth="1"/>
    <col min="2052" max="2052" width="53.453125" style="59" customWidth="1"/>
    <col min="2053" max="2304" width="9.08984375" style="59"/>
    <col min="2305" max="2305" width="2.08984375" style="59" bestFit="1" customWidth="1"/>
    <col min="2306" max="2306" width="50" style="59" bestFit="1" customWidth="1"/>
    <col min="2307" max="2307" width="1.6328125" style="59" bestFit="1" customWidth="1"/>
    <col min="2308" max="2308" width="53.453125" style="59" customWidth="1"/>
    <col min="2309" max="2560" width="9.08984375" style="59"/>
    <col min="2561" max="2561" width="2.08984375" style="59" bestFit="1" customWidth="1"/>
    <col min="2562" max="2562" width="50" style="59" bestFit="1" customWidth="1"/>
    <col min="2563" max="2563" width="1.6328125" style="59" bestFit="1" customWidth="1"/>
    <col min="2564" max="2564" width="53.453125" style="59" customWidth="1"/>
    <col min="2565" max="2816" width="9.08984375" style="59"/>
    <col min="2817" max="2817" width="2.08984375" style="59" bestFit="1" customWidth="1"/>
    <col min="2818" max="2818" width="50" style="59" bestFit="1" customWidth="1"/>
    <col min="2819" max="2819" width="1.6328125" style="59" bestFit="1" customWidth="1"/>
    <col min="2820" max="2820" width="53.453125" style="59" customWidth="1"/>
    <col min="2821" max="3072" width="9.08984375" style="59"/>
    <col min="3073" max="3073" width="2.08984375" style="59" bestFit="1" customWidth="1"/>
    <col min="3074" max="3074" width="50" style="59" bestFit="1" customWidth="1"/>
    <col min="3075" max="3075" width="1.6328125" style="59" bestFit="1" customWidth="1"/>
    <col min="3076" max="3076" width="53.453125" style="59" customWidth="1"/>
    <col min="3077" max="3328" width="9.08984375" style="59"/>
    <col min="3329" max="3329" width="2.08984375" style="59" bestFit="1" customWidth="1"/>
    <col min="3330" max="3330" width="50" style="59" bestFit="1" customWidth="1"/>
    <col min="3331" max="3331" width="1.6328125" style="59" bestFit="1" customWidth="1"/>
    <col min="3332" max="3332" width="53.453125" style="59" customWidth="1"/>
    <col min="3333" max="3584" width="9.08984375" style="59"/>
    <col min="3585" max="3585" width="2.08984375" style="59" bestFit="1" customWidth="1"/>
    <col min="3586" max="3586" width="50" style="59" bestFit="1" customWidth="1"/>
    <col min="3587" max="3587" width="1.6328125" style="59" bestFit="1" customWidth="1"/>
    <col min="3588" max="3588" width="53.453125" style="59" customWidth="1"/>
    <col min="3589" max="3840" width="9.08984375" style="59"/>
    <col min="3841" max="3841" width="2.08984375" style="59" bestFit="1" customWidth="1"/>
    <col min="3842" max="3842" width="50" style="59" bestFit="1" customWidth="1"/>
    <col min="3843" max="3843" width="1.6328125" style="59" bestFit="1" customWidth="1"/>
    <col min="3844" max="3844" width="53.453125" style="59" customWidth="1"/>
    <col min="3845" max="4096" width="9.08984375" style="59"/>
    <col min="4097" max="4097" width="2.08984375" style="59" bestFit="1" customWidth="1"/>
    <col min="4098" max="4098" width="50" style="59" bestFit="1" customWidth="1"/>
    <col min="4099" max="4099" width="1.6328125" style="59" bestFit="1" customWidth="1"/>
    <col min="4100" max="4100" width="53.453125" style="59" customWidth="1"/>
    <col min="4101" max="4352" width="9.08984375" style="59"/>
    <col min="4353" max="4353" width="2.08984375" style="59" bestFit="1" customWidth="1"/>
    <col min="4354" max="4354" width="50" style="59" bestFit="1" customWidth="1"/>
    <col min="4355" max="4355" width="1.6328125" style="59" bestFit="1" customWidth="1"/>
    <col min="4356" max="4356" width="53.453125" style="59" customWidth="1"/>
    <col min="4357" max="4608" width="9.08984375" style="59"/>
    <col min="4609" max="4609" width="2.08984375" style="59" bestFit="1" customWidth="1"/>
    <col min="4610" max="4610" width="50" style="59" bestFit="1" customWidth="1"/>
    <col min="4611" max="4611" width="1.6328125" style="59" bestFit="1" customWidth="1"/>
    <col min="4612" max="4612" width="53.453125" style="59" customWidth="1"/>
    <col min="4613" max="4864" width="9.08984375" style="59"/>
    <col min="4865" max="4865" width="2.08984375" style="59" bestFit="1" customWidth="1"/>
    <col min="4866" max="4866" width="50" style="59" bestFit="1" customWidth="1"/>
    <col min="4867" max="4867" width="1.6328125" style="59" bestFit="1" customWidth="1"/>
    <col min="4868" max="4868" width="53.453125" style="59" customWidth="1"/>
    <col min="4869" max="5120" width="9.08984375" style="59"/>
    <col min="5121" max="5121" width="2.08984375" style="59" bestFit="1" customWidth="1"/>
    <col min="5122" max="5122" width="50" style="59" bestFit="1" customWidth="1"/>
    <col min="5123" max="5123" width="1.6328125" style="59" bestFit="1" customWidth="1"/>
    <col min="5124" max="5124" width="53.453125" style="59" customWidth="1"/>
    <col min="5125" max="5376" width="9.08984375" style="59"/>
    <col min="5377" max="5377" width="2.08984375" style="59" bestFit="1" customWidth="1"/>
    <col min="5378" max="5378" width="50" style="59" bestFit="1" customWidth="1"/>
    <col min="5379" max="5379" width="1.6328125" style="59" bestFit="1" customWidth="1"/>
    <col min="5380" max="5380" width="53.453125" style="59" customWidth="1"/>
    <col min="5381" max="5632" width="9.08984375" style="59"/>
    <col min="5633" max="5633" width="2.08984375" style="59" bestFit="1" customWidth="1"/>
    <col min="5634" max="5634" width="50" style="59" bestFit="1" customWidth="1"/>
    <col min="5635" max="5635" width="1.6328125" style="59" bestFit="1" customWidth="1"/>
    <col min="5636" max="5636" width="53.453125" style="59" customWidth="1"/>
    <col min="5637" max="5888" width="9.08984375" style="59"/>
    <col min="5889" max="5889" width="2.08984375" style="59" bestFit="1" customWidth="1"/>
    <col min="5890" max="5890" width="50" style="59" bestFit="1" customWidth="1"/>
    <col min="5891" max="5891" width="1.6328125" style="59" bestFit="1" customWidth="1"/>
    <col min="5892" max="5892" width="53.453125" style="59" customWidth="1"/>
    <col min="5893" max="6144" width="9.08984375" style="59"/>
    <col min="6145" max="6145" width="2.08984375" style="59" bestFit="1" customWidth="1"/>
    <col min="6146" max="6146" width="50" style="59" bestFit="1" customWidth="1"/>
    <col min="6147" max="6147" width="1.6328125" style="59" bestFit="1" customWidth="1"/>
    <col min="6148" max="6148" width="53.453125" style="59" customWidth="1"/>
    <col min="6149" max="6400" width="9.08984375" style="59"/>
    <col min="6401" max="6401" width="2.08984375" style="59" bestFit="1" customWidth="1"/>
    <col min="6402" max="6402" width="50" style="59" bestFit="1" customWidth="1"/>
    <col min="6403" max="6403" width="1.6328125" style="59" bestFit="1" customWidth="1"/>
    <col min="6404" max="6404" width="53.453125" style="59" customWidth="1"/>
    <col min="6405" max="6656" width="9.08984375" style="59"/>
    <col min="6657" max="6657" width="2.08984375" style="59" bestFit="1" customWidth="1"/>
    <col min="6658" max="6658" width="50" style="59" bestFit="1" customWidth="1"/>
    <col min="6659" max="6659" width="1.6328125" style="59" bestFit="1" customWidth="1"/>
    <col min="6660" max="6660" width="53.453125" style="59" customWidth="1"/>
    <col min="6661" max="6912" width="9.08984375" style="59"/>
    <col min="6913" max="6913" width="2.08984375" style="59" bestFit="1" customWidth="1"/>
    <col min="6914" max="6914" width="50" style="59" bestFit="1" customWidth="1"/>
    <col min="6915" max="6915" width="1.6328125" style="59" bestFit="1" customWidth="1"/>
    <col min="6916" max="6916" width="53.453125" style="59" customWidth="1"/>
    <col min="6917" max="7168" width="9.08984375" style="59"/>
    <col min="7169" max="7169" width="2.08984375" style="59" bestFit="1" customWidth="1"/>
    <col min="7170" max="7170" width="50" style="59" bestFit="1" customWidth="1"/>
    <col min="7171" max="7171" width="1.6328125" style="59" bestFit="1" customWidth="1"/>
    <col min="7172" max="7172" width="53.453125" style="59" customWidth="1"/>
    <col min="7173" max="7424" width="9.08984375" style="59"/>
    <col min="7425" max="7425" width="2.08984375" style="59" bestFit="1" customWidth="1"/>
    <col min="7426" max="7426" width="50" style="59" bestFit="1" customWidth="1"/>
    <col min="7427" max="7427" width="1.6328125" style="59" bestFit="1" customWidth="1"/>
    <col min="7428" max="7428" width="53.453125" style="59" customWidth="1"/>
    <col min="7429" max="7680" width="9.08984375" style="59"/>
    <col min="7681" max="7681" width="2.08984375" style="59" bestFit="1" customWidth="1"/>
    <col min="7682" max="7682" width="50" style="59" bestFit="1" customWidth="1"/>
    <col min="7683" max="7683" width="1.6328125" style="59" bestFit="1" customWidth="1"/>
    <col min="7684" max="7684" width="53.453125" style="59" customWidth="1"/>
    <col min="7685" max="7936" width="9.08984375" style="59"/>
    <col min="7937" max="7937" width="2.08984375" style="59" bestFit="1" customWidth="1"/>
    <col min="7938" max="7938" width="50" style="59" bestFit="1" customWidth="1"/>
    <col min="7939" max="7939" width="1.6328125" style="59" bestFit="1" customWidth="1"/>
    <col min="7940" max="7940" width="53.453125" style="59" customWidth="1"/>
    <col min="7941" max="8192" width="9.08984375" style="59"/>
    <col min="8193" max="8193" width="2.08984375" style="59" bestFit="1" customWidth="1"/>
    <col min="8194" max="8194" width="50" style="59" bestFit="1" customWidth="1"/>
    <col min="8195" max="8195" width="1.6328125" style="59" bestFit="1" customWidth="1"/>
    <col min="8196" max="8196" width="53.453125" style="59" customWidth="1"/>
    <col min="8197" max="8448" width="9.08984375" style="59"/>
    <col min="8449" max="8449" width="2.08984375" style="59" bestFit="1" customWidth="1"/>
    <col min="8450" max="8450" width="50" style="59" bestFit="1" customWidth="1"/>
    <col min="8451" max="8451" width="1.6328125" style="59" bestFit="1" customWidth="1"/>
    <col min="8452" max="8452" width="53.453125" style="59" customWidth="1"/>
    <col min="8453" max="8704" width="9.08984375" style="59"/>
    <col min="8705" max="8705" width="2.08984375" style="59" bestFit="1" customWidth="1"/>
    <col min="8706" max="8706" width="50" style="59" bestFit="1" customWidth="1"/>
    <col min="8707" max="8707" width="1.6328125" style="59" bestFit="1" customWidth="1"/>
    <col min="8708" max="8708" width="53.453125" style="59" customWidth="1"/>
    <col min="8709" max="8960" width="9.08984375" style="59"/>
    <col min="8961" max="8961" width="2.08984375" style="59" bestFit="1" customWidth="1"/>
    <col min="8962" max="8962" width="50" style="59" bestFit="1" customWidth="1"/>
    <col min="8963" max="8963" width="1.6328125" style="59" bestFit="1" customWidth="1"/>
    <col min="8964" max="8964" width="53.453125" style="59" customWidth="1"/>
    <col min="8965" max="9216" width="9.08984375" style="59"/>
    <col min="9217" max="9217" width="2.08984375" style="59" bestFit="1" customWidth="1"/>
    <col min="9218" max="9218" width="50" style="59" bestFit="1" customWidth="1"/>
    <col min="9219" max="9219" width="1.6328125" style="59" bestFit="1" customWidth="1"/>
    <col min="9220" max="9220" width="53.453125" style="59" customWidth="1"/>
    <col min="9221" max="9472" width="9.08984375" style="59"/>
    <col min="9473" max="9473" width="2.08984375" style="59" bestFit="1" customWidth="1"/>
    <col min="9474" max="9474" width="50" style="59" bestFit="1" customWidth="1"/>
    <col min="9475" max="9475" width="1.6328125" style="59" bestFit="1" customWidth="1"/>
    <col min="9476" max="9476" width="53.453125" style="59" customWidth="1"/>
    <col min="9477" max="9728" width="9.08984375" style="59"/>
    <col min="9729" max="9729" width="2.08984375" style="59" bestFit="1" customWidth="1"/>
    <col min="9730" max="9730" width="50" style="59" bestFit="1" customWidth="1"/>
    <col min="9731" max="9731" width="1.6328125" style="59" bestFit="1" customWidth="1"/>
    <col min="9732" max="9732" width="53.453125" style="59" customWidth="1"/>
    <col min="9733" max="9984" width="9.08984375" style="59"/>
    <col min="9985" max="9985" width="2.08984375" style="59" bestFit="1" customWidth="1"/>
    <col min="9986" max="9986" width="50" style="59" bestFit="1" customWidth="1"/>
    <col min="9987" max="9987" width="1.6328125" style="59" bestFit="1" customWidth="1"/>
    <col min="9988" max="9988" width="53.453125" style="59" customWidth="1"/>
    <col min="9989" max="10240" width="9.08984375" style="59"/>
    <col min="10241" max="10241" width="2.08984375" style="59" bestFit="1" customWidth="1"/>
    <col min="10242" max="10242" width="50" style="59" bestFit="1" customWidth="1"/>
    <col min="10243" max="10243" width="1.6328125" style="59" bestFit="1" customWidth="1"/>
    <col min="10244" max="10244" width="53.453125" style="59" customWidth="1"/>
    <col min="10245" max="10496" width="9.08984375" style="59"/>
    <col min="10497" max="10497" width="2.08984375" style="59" bestFit="1" customWidth="1"/>
    <col min="10498" max="10498" width="50" style="59" bestFit="1" customWidth="1"/>
    <col min="10499" max="10499" width="1.6328125" style="59" bestFit="1" customWidth="1"/>
    <col min="10500" max="10500" width="53.453125" style="59" customWidth="1"/>
    <col min="10501" max="10752" width="9.08984375" style="59"/>
    <col min="10753" max="10753" width="2.08984375" style="59" bestFit="1" customWidth="1"/>
    <col min="10754" max="10754" width="50" style="59" bestFit="1" customWidth="1"/>
    <col min="10755" max="10755" width="1.6328125" style="59" bestFit="1" customWidth="1"/>
    <col min="10756" max="10756" width="53.453125" style="59" customWidth="1"/>
    <col min="10757" max="11008" width="9.08984375" style="59"/>
    <col min="11009" max="11009" width="2.08984375" style="59" bestFit="1" customWidth="1"/>
    <col min="11010" max="11010" width="50" style="59" bestFit="1" customWidth="1"/>
    <col min="11011" max="11011" width="1.6328125" style="59" bestFit="1" customWidth="1"/>
    <col min="11012" max="11012" width="53.453125" style="59" customWidth="1"/>
    <col min="11013" max="11264" width="9.08984375" style="59"/>
    <col min="11265" max="11265" width="2.08984375" style="59" bestFit="1" customWidth="1"/>
    <col min="11266" max="11266" width="50" style="59" bestFit="1" customWidth="1"/>
    <col min="11267" max="11267" width="1.6328125" style="59" bestFit="1" customWidth="1"/>
    <col min="11268" max="11268" width="53.453125" style="59" customWidth="1"/>
    <col min="11269" max="11520" width="9.08984375" style="59"/>
    <col min="11521" max="11521" width="2.08984375" style="59" bestFit="1" customWidth="1"/>
    <col min="11522" max="11522" width="50" style="59" bestFit="1" customWidth="1"/>
    <col min="11523" max="11523" width="1.6328125" style="59" bestFit="1" customWidth="1"/>
    <col min="11524" max="11524" width="53.453125" style="59" customWidth="1"/>
    <col min="11525" max="11776" width="9.08984375" style="59"/>
    <col min="11777" max="11777" width="2.08984375" style="59" bestFit="1" customWidth="1"/>
    <col min="11778" max="11778" width="50" style="59" bestFit="1" customWidth="1"/>
    <col min="11779" max="11779" width="1.6328125" style="59" bestFit="1" customWidth="1"/>
    <col min="11780" max="11780" width="53.453125" style="59" customWidth="1"/>
    <col min="11781" max="12032" width="9.08984375" style="59"/>
    <col min="12033" max="12033" width="2.08984375" style="59" bestFit="1" customWidth="1"/>
    <col min="12034" max="12034" width="50" style="59" bestFit="1" customWidth="1"/>
    <col min="12035" max="12035" width="1.6328125" style="59" bestFit="1" customWidth="1"/>
    <col min="12036" max="12036" width="53.453125" style="59" customWidth="1"/>
    <col min="12037" max="12288" width="9.08984375" style="59"/>
    <col min="12289" max="12289" width="2.08984375" style="59" bestFit="1" customWidth="1"/>
    <col min="12290" max="12290" width="50" style="59" bestFit="1" customWidth="1"/>
    <col min="12291" max="12291" width="1.6328125" style="59" bestFit="1" customWidth="1"/>
    <col min="12292" max="12292" width="53.453125" style="59" customWidth="1"/>
    <col min="12293" max="12544" width="9.08984375" style="59"/>
    <col min="12545" max="12545" width="2.08984375" style="59" bestFit="1" customWidth="1"/>
    <col min="12546" max="12546" width="50" style="59" bestFit="1" customWidth="1"/>
    <col min="12547" max="12547" width="1.6328125" style="59" bestFit="1" customWidth="1"/>
    <col min="12548" max="12548" width="53.453125" style="59" customWidth="1"/>
    <col min="12549" max="12800" width="9.08984375" style="59"/>
    <col min="12801" max="12801" width="2.08984375" style="59" bestFit="1" customWidth="1"/>
    <col min="12802" max="12802" width="50" style="59" bestFit="1" customWidth="1"/>
    <col min="12803" max="12803" width="1.6328125" style="59" bestFit="1" customWidth="1"/>
    <col min="12804" max="12804" width="53.453125" style="59" customWidth="1"/>
    <col min="12805" max="13056" width="9.08984375" style="59"/>
    <col min="13057" max="13057" width="2.08984375" style="59" bestFit="1" customWidth="1"/>
    <col min="13058" max="13058" width="50" style="59" bestFit="1" customWidth="1"/>
    <col min="13059" max="13059" width="1.6328125" style="59" bestFit="1" customWidth="1"/>
    <col min="13060" max="13060" width="53.453125" style="59" customWidth="1"/>
    <col min="13061" max="13312" width="9.08984375" style="59"/>
    <col min="13313" max="13313" width="2.08984375" style="59" bestFit="1" customWidth="1"/>
    <col min="13314" max="13314" width="50" style="59" bestFit="1" customWidth="1"/>
    <col min="13315" max="13315" width="1.6328125" style="59" bestFit="1" customWidth="1"/>
    <col min="13316" max="13316" width="53.453125" style="59" customWidth="1"/>
    <col min="13317" max="13568" width="9.08984375" style="59"/>
    <col min="13569" max="13569" width="2.08984375" style="59" bestFit="1" customWidth="1"/>
    <col min="13570" max="13570" width="50" style="59" bestFit="1" customWidth="1"/>
    <col min="13571" max="13571" width="1.6328125" style="59" bestFit="1" customWidth="1"/>
    <col min="13572" max="13572" width="53.453125" style="59" customWidth="1"/>
    <col min="13573" max="13824" width="9.08984375" style="59"/>
    <col min="13825" max="13825" width="2.08984375" style="59" bestFit="1" customWidth="1"/>
    <col min="13826" max="13826" width="50" style="59" bestFit="1" customWidth="1"/>
    <col min="13827" max="13827" width="1.6328125" style="59" bestFit="1" customWidth="1"/>
    <col min="13828" max="13828" width="53.453125" style="59" customWidth="1"/>
    <col min="13829" max="14080" width="9.08984375" style="59"/>
    <col min="14081" max="14081" width="2.08984375" style="59" bestFit="1" customWidth="1"/>
    <col min="14082" max="14082" width="50" style="59" bestFit="1" customWidth="1"/>
    <col min="14083" max="14083" width="1.6328125" style="59" bestFit="1" customWidth="1"/>
    <col min="14084" max="14084" width="53.453125" style="59" customWidth="1"/>
    <col min="14085" max="14336" width="9.08984375" style="59"/>
    <col min="14337" max="14337" width="2.08984375" style="59" bestFit="1" customWidth="1"/>
    <col min="14338" max="14338" width="50" style="59" bestFit="1" customWidth="1"/>
    <col min="14339" max="14339" width="1.6328125" style="59" bestFit="1" customWidth="1"/>
    <col min="14340" max="14340" width="53.453125" style="59" customWidth="1"/>
    <col min="14341" max="14592" width="9.08984375" style="59"/>
    <col min="14593" max="14593" width="2.08984375" style="59" bestFit="1" customWidth="1"/>
    <col min="14594" max="14594" width="50" style="59" bestFit="1" customWidth="1"/>
    <col min="14595" max="14595" width="1.6328125" style="59" bestFit="1" customWidth="1"/>
    <col min="14596" max="14596" width="53.453125" style="59" customWidth="1"/>
    <col min="14597" max="14848" width="9.08984375" style="59"/>
    <col min="14849" max="14849" width="2.08984375" style="59" bestFit="1" customWidth="1"/>
    <col min="14850" max="14850" width="50" style="59" bestFit="1" customWidth="1"/>
    <col min="14851" max="14851" width="1.6328125" style="59" bestFit="1" customWidth="1"/>
    <col min="14852" max="14852" width="53.453125" style="59" customWidth="1"/>
    <col min="14853" max="15104" width="9.08984375" style="59"/>
    <col min="15105" max="15105" width="2.08984375" style="59" bestFit="1" customWidth="1"/>
    <col min="15106" max="15106" width="50" style="59" bestFit="1" customWidth="1"/>
    <col min="15107" max="15107" width="1.6328125" style="59" bestFit="1" customWidth="1"/>
    <col min="15108" max="15108" width="53.453125" style="59" customWidth="1"/>
    <col min="15109" max="15360" width="9.08984375" style="59"/>
    <col min="15361" max="15361" width="2.08984375" style="59" bestFit="1" customWidth="1"/>
    <col min="15362" max="15362" width="50" style="59" bestFit="1" customWidth="1"/>
    <col min="15363" max="15363" width="1.6328125" style="59" bestFit="1" customWidth="1"/>
    <col min="15364" max="15364" width="53.453125" style="59" customWidth="1"/>
    <col min="15365" max="15616" width="9.08984375" style="59"/>
    <col min="15617" max="15617" width="2.08984375" style="59" bestFit="1" customWidth="1"/>
    <col min="15618" max="15618" width="50" style="59" bestFit="1" customWidth="1"/>
    <col min="15619" max="15619" width="1.6328125" style="59" bestFit="1" customWidth="1"/>
    <col min="15620" max="15620" width="53.453125" style="59" customWidth="1"/>
    <col min="15621" max="15872" width="9.08984375" style="59"/>
    <col min="15873" max="15873" width="2.08984375" style="59" bestFit="1" customWidth="1"/>
    <col min="15874" max="15874" width="50" style="59" bestFit="1" customWidth="1"/>
    <col min="15875" max="15875" width="1.6328125" style="59" bestFit="1" customWidth="1"/>
    <col min="15876" max="15876" width="53.453125" style="59" customWidth="1"/>
    <col min="15877" max="16128" width="9.08984375" style="59"/>
    <col min="16129" max="16129" width="2.08984375" style="59" bestFit="1" customWidth="1"/>
    <col min="16130" max="16130" width="50" style="59" bestFit="1" customWidth="1"/>
    <col min="16131" max="16131" width="1.6328125" style="59" bestFit="1" customWidth="1"/>
    <col min="16132" max="16132" width="53.453125" style="59" customWidth="1"/>
    <col min="16133" max="16384" width="9.08984375" style="59"/>
  </cols>
  <sheetData>
    <row r="1" spans="1:4" ht="13">
      <c r="A1" s="635" t="s">
        <v>283</v>
      </c>
      <c r="B1" s="636"/>
      <c r="C1" s="636"/>
      <c r="D1" s="637"/>
    </row>
    <row r="2" spans="1:4" ht="13">
      <c r="A2" s="638" t="s">
        <v>284</v>
      </c>
      <c r="B2" s="639"/>
      <c r="C2" s="639"/>
      <c r="D2" s="640"/>
    </row>
    <row r="3" spans="1:4">
      <c r="A3" s="60"/>
      <c r="B3" s="61"/>
      <c r="C3" s="62"/>
      <c r="D3" s="63"/>
    </row>
    <row r="4" spans="1:4" ht="13">
      <c r="A4" s="641" t="s">
        <v>285</v>
      </c>
      <c r="B4" s="642"/>
      <c r="C4" s="642"/>
      <c r="D4" s="643"/>
    </row>
    <row r="5" spans="1:4">
      <c r="A5" s="64"/>
      <c r="D5" s="65"/>
    </row>
    <row r="6" spans="1:4" ht="13">
      <c r="A6" s="632" t="s">
        <v>286</v>
      </c>
      <c r="B6" s="633"/>
      <c r="C6" s="66" t="s">
        <v>139</v>
      </c>
      <c r="D6" s="634">
        <f>OBFORMAT!DI3</f>
        <v>0</v>
      </c>
    </row>
    <row r="7" spans="1:4">
      <c r="A7" s="68"/>
      <c r="B7" s="69"/>
      <c r="D7" s="634"/>
    </row>
    <row r="8" spans="1:4">
      <c r="A8" s="68"/>
      <c r="B8" s="69"/>
      <c r="D8" s="634"/>
    </row>
    <row r="9" spans="1:4" ht="13">
      <c r="A9" s="68"/>
      <c r="B9" s="69"/>
      <c r="D9" s="70"/>
    </row>
    <row r="10" spans="1:4" ht="13">
      <c r="A10" s="632" t="s">
        <v>287</v>
      </c>
      <c r="B10" s="633"/>
      <c r="C10" s="66" t="s">
        <v>139</v>
      </c>
      <c r="D10" s="83">
        <f>HRIS!B12</f>
        <v>0</v>
      </c>
    </row>
    <row r="11" spans="1:4" ht="13">
      <c r="A11" s="632" t="s">
        <v>288</v>
      </c>
      <c r="B11" s="633"/>
      <c r="C11" s="66" t="s">
        <v>139</v>
      </c>
      <c r="D11" s="72"/>
    </row>
    <row r="12" spans="1:4" ht="13">
      <c r="A12" s="632"/>
      <c r="B12" s="633"/>
      <c r="C12" s="66"/>
      <c r="D12" s="71"/>
    </row>
    <row r="13" spans="1:4" ht="13">
      <c r="A13" s="68"/>
      <c r="B13" s="69"/>
      <c r="C13" s="66"/>
      <c r="D13" s="70"/>
    </row>
    <row r="14" spans="1:4" ht="13">
      <c r="A14" s="68"/>
      <c r="B14" s="69"/>
      <c r="C14" s="66"/>
      <c r="D14" s="70"/>
    </row>
    <row r="15" spans="1:4" ht="13">
      <c r="A15" s="632" t="s">
        <v>289</v>
      </c>
      <c r="B15" s="633"/>
      <c r="C15" s="66" t="s">
        <v>139</v>
      </c>
      <c r="D15" s="70"/>
    </row>
    <row r="16" spans="1:4" ht="13">
      <c r="A16" s="68"/>
      <c r="B16" s="69"/>
      <c r="C16" s="66"/>
      <c r="D16" s="70"/>
    </row>
    <row r="17" spans="1:4" ht="13">
      <c r="A17" s="68"/>
      <c r="B17" s="69"/>
      <c r="C17" s="66"/>
      <c r="D17" s="70"/>
    </row>
    <row r="18" spans="1:4" ht="13">
      <c r="A18" s="632" t="s">
        <v>290</v>
      </c>
      <c r="B18" s="633"/>
      <c r="C18" s="66" t="s">
        <v>139</v>
      </c>
      <c r="D18" s="83">
        <f>HRIS!B12</f>
        <v>0</v>
      </c>
    </row>
    <row r="19" spans="1:4" ht="13">
      <c r="A19" s="64"/>
      <c r="C19" s="66" t="s">
        <v>139</v>
      </c>
      <c r="D19" s="72"/>
    </row>
    <row r="20" spans="1:4" ht="13">
      <c r="A20" s="64"/>
      <c r="C20" s="66"/>
      <c r="D20" s="71"/>
    </row>
    <row r="21" spans="1:4" ht="13">
      <c r="A21" s="64"/>
      <c r="C21" s="66"/>
      <c r="D21" s="67"/>
    </row>
    <row r="22" spans="1:4" ht="13">
      <c r="A22" s="73">
        <v>1</v>
      </c>
      <c r="B22" s="59" t="s">
        <v>291</v>
      </c>
      <c r="C22" s="66" t="s">
        <v>139</v>
      </c>
      <c r="D22" s="74" t="str">
        <f>HRIS!B4</f>
        <v xml:space="preserve">  </v>
      </c>
    </row>
    <row r="23" spans="1:4" ht="13">
      <c r="A23" s="73"/>
      <c r="C23" s="66"/>
      <c r="D23" s="70"/>
    </row>
    <row r="24" spans="1:4" ht="13">
      <c r="A24" s="73">
        <v>2</v>
      </c>
      <c r="B24" s="59" t="s">
        <v>292</v>
      </c>
      <c r="C24" s="66" t="s">
        <v>139</v>
      </c>
      <c r="D24" s="75">
        <f>HRIS!B66</f>
        <v>0</v>
      </c>
    </row>
    <row r="25" spans="1:4" ht="13">
      <c r="A25" s="73"/>
      <c r="C25" s="66"/>
      <c r="D25" s="70"/>
    </row>
    <row r="26" spans="1:4" ht="13">
      <c r="A26" s="73">
        <v>3</v>
      </c>
      <c r="B26" s="59" t="s">
        <v>293</v>
      </c>
      <c r="C26" s="66" t="s">
        <v>139</v>
      </c>
      <c r="D26" s="76">
        <f>HRIS!B14</f>
        <v>0</v>
      </c>
    </row>
    <row r="27" spans="1:4" ht="13">
      <c r="A27" s="73"/>
      <c r="C27" s="66"/>
      <c r="D27" s="70"/>
    </row>
    <row r="28" spans="1:4" ht="13">
      <c r="A28" s="73">
        <v>4</v>
      </c>
      <c r="B28" s="288" t="s">
        <v>294</v>
      </c>
      <c r="C28" s="66" t="s">
        <v>139</v>
      </c>
      <c r="D28" s="77"/>
    </row>
    <row r="29" spans="1:4" ht="13">
      <c r="A29" s="73"/>
      <c r="C29" s="66"/>
      <c r="D29" s="78"/>
    </row>
    <row r="30" spans="1:4" ht="13">
      <c r="A30" s="73">
        <v>5</v>
      </c>
      <c r="B30" s="59" t="s">
        <v>295</v>
      </c>
      <c r="C30" s="66" t="s">
        <v>139</v>
      </c>
      <c r="D30" s="70" t="s">
        <v>296</v>
      </c>
    </row>
    <row r="31" spans="1:4" ht="13">
      <c r="A31" s="73"/>
      <c r="C31" s="66"/>
      <c r="D31" s="70"/>
    </row>
    <row r="32" spans="1:4" ht="13">
      <c r="A32" s="73">
        <v>6</v>
      </c>
      <c r="B32" s="59" t="s">
        <v>297</v>
      </c>
      <c r="C32" s="66" t="s">
        <v>139</v>
      </c>
      <c r="D32" s="70" t="str">
        <f>HRIS!B70&amp;" "&amp;HRIS!E70</f>
        <v>0 0</v>
      </c>
    </row>
    <row r="33" spans="1:4" ht="13">
      <c r="A33" s="73"/>
      <c r="C33" s="66"/>
      <c r="D33" s="70"/>
    </row>
    <row r="34" spans="1:4" ht="13">
      <c r="A34" s="73">
        <v>7</v>
      </c>
      <c r="B34" s="59" t="s">
        <v>298</v>
      </c>
      <c r="C34" s="66" t="s">
        <v>139</v>
      </c>
      <c r="D34" s="65"/>
    </row>
    <row r="35" spans="1:4" ht="13.5" thickBot="1">
      <c r="A35" s="79"/>
      <c r="B35" s="80"/>
      <c r="C35" s="81"/>
      <c r="D35" s="82"/>
    </row>
  </sheetData>
  <mergeCells count="10">
    <mergeCell ref="A12:B12"/>
    <mergeCell ref="A15:B15"/>
    <mergeCell ref="A18:B18"/>
    <mergeCell ref="D6:D8"/>
    <mergeCell ref="A1:D1"/>
    <mergeCell ref="A2:D2"/>
    <mergeCell ref="A4:D4"/>
    <mergeCell ref="A6:B6"/>
    <mergeCell ref="A10:B10"/>
    <mergeCell ref="A11:B11"/>
  </mergeCells>
  <printOptions horizontalCentered="1"/>
  <pageMargins left="0.21" right="0.17" top="0.46" bottom="0.4" header="0.32" footer="0.22"/>
  <pageSetup paperSize="9" scale="92"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B1:G20"/>
  <sheetViews>
    <sheetView showGridLines="0" showZeros="0" topLeftCell="A2" zoomScale="145" zoomScaleNormal="145" workbookViewId="0">
      <selection activeCell="B9" sqref="B9:C10"/>
    </sheetView>
  </sheetViews>
  <sheetFormatPr defaultRowHeight="14.5"/>
  <sheetData>
    <row r="1" spans="2:7" ht="15" thickBot="1"/>
    <row r="2" spans="2:7" ht="15" customHeight="1">
      <c r="B2" s="297"/>
      <c r="C2" s="295"/>
      <c r="D2" s="295"/>
      <c r="E2" s="644" t="s">
        <v>867</v>
      </c>
      <c r="F2" s="644"/>
      <c r="G2" s="645"/>
    </row>
    <row r="3" spans="2:7" ht="15" thickBot="1">
      <c r="B3" s="298"/>
      <c r="C3" s="296"/>
      <c r="D3" s="296"/>
      <c r="E3" s="646"/>
      <c r="F3" s="646"/>
      <c r="G3" s="647"/>
    </row>
    <row r="4" spans="2:7">
      <c r="B4" s="661" t="s">
        <v>836</v>
      </c>
      <c r="C4" s="662"/>
      <c r="D4" s="289" t="s">
        <v>0</v>
      </c>
      <c r="E4" s="290"/>
      <c r="F4" s="667" t="str">
        <f>'Data entry sheet'!C10</f>
        <v xml:space="preserve">  </v>
      </c>
      <c r="G4" s="668"/>
    </row>
    <row r="5" spans="2:7">
      <c r="B5" s="663"/>
      <c r="C5" s="664"/>
      <c r="D5" s="291" t="s">
        <v>4</v>
      </c>
      <c r="F5" s="648">
        <f>'Data entry sheet'!C15</f>
        <v>0</v>
      </c>
      <c r="G5" s="649"/>
    </row>
    <row r="6" spans="2:7">
      <c r="B6" s="663"/>
      <c r="C6" s="664"/>
      <c r="D6" s="291" t="s">
        <v>829</v>
      </c>
      <c r="F6" s="648">
        <f>'Data entry sheet'!C6</f>
        <v>0</v>
      </c>
      <c r="G6" s="649"/>
    </row>
    <row r="7" spans="2:7">
      <c r="B7" s="663"/>
      <c r="C7" s="664"/>
      <c r="D7" s="291" t="s">
        <v>830</v>
      </c>
      <c r="F7" s="648">
        <f>'Data entry sheet'!C40</f>
        <v>0</v>
      </c>
      <c r="G7" s="649"/>
    </row>
    <row r="8" spans="2:7" ht="15" thickBot="1">
      <c r="B8" s="665"/>
      <c r="C8" s="666"/>
      <c r="D8" s="291" t="s">
        <v>831</v>
      </c>
      <c r="F8" s="648">
        <f>'Data entry sheet'!C4</f>
        <v>0</v>
      </c>
      <c r="G8" s="649"/>
    </row>
    <row r="9" spans="2:7">
      <c r="B9" s="669" t="s">
        <v>833</v>
      </c>
      <c r="C9" s="670"/>
      <c r="D9" s="292" t="s">
        <v>832</v>
      </c>
      <c r="F9" s="648"/>
      <c r="G9" s="649"/>
    </row>
    <row r="10" spans="2:7" ht="15" thickBot="1">
      <c r="B10" s="671"/>
      <c r="C10" s="672"/>
      <c r="D10" s="293" t="s">
        <v>6</v>
      </c>
      <c r="E10" s="265"/>
      <c r="F10" s="650">
        <f>'Data entry sheet'!C22</f>
        <v>0</v>
      </c>
      <c r="G10" s="651"/>
    </row>
    <row r="11" spans="2:7" ht="15" thickBot="1"/>
    <row r="12" spans="2:7" ht="15" customHeight="1">
      <c r="B12" s="652" t="s">
        <v>834</v>
      </c>
      <c r="C12" s="653"/>
      <c r="D12" s="653"/>
      <c r="E12" s="653"/>
      <c r="F12" s="653"/>
      <c r="G12" s="654"/>
    </row>
    <row r="13" spans="2:7">
      <c r="B13" s="655"/>
      <c r="C13" s="656"/>
      <c r="D13" s="656"/>
      <c r="E13" s="656"/>
      <c r="F13" s="656"/>
      <c r="G13" s="657"/>
    </row>
    <row r="14" spans="2:7">
      <c r="B14" s="655"/>
      <c r="C14" s="656"/>
      <c r="D14" s="656"/>
      <c r="E14" s="656"/>
      <c r="F14" s="656"/>
      <c r="G14" s="657"/>
    </row>
    <row r="15" spans="2:7">
      <c r="B15" s="655"/>
      <c r="C15" s="656"/>
      <c r="D15" s="656"/>
      <c r="E15" s="656"/>
      <c r="F15" s="656"/>
      <c r="G15" s="657"/>
    </row>
    <row r="16" spans="2:7">
      <c r="B16" s="655"/>
      <c r="C16" s="656"/>
      <c r="D16" s="656"/>
      <c r="E16" s="656"/>
      <c r="F16" s="656"/>
      <c r="G16" s="657"/>
    </row>
    <row r="17" spans="2:7">
      <c r="B17" s="655"/>
      <c r="C17" s="656"/>
      <c r="D17" s="656"/>
      <c r="E17" s="656"/>
      <c r="F17" s="656"/>
      <c r="G17" s="657"/>
    </row>
    <row r="18" spans="2:7">
      <c r="B18" s="655"/>
      <c r="C18" s="656"/>
      <c r="D18" s="656"/>
      <c r="E18" s="656"/>
      <c r="F18" s="656"/>
      <c r="G18" s="657"/>
    </row>
    <row r="19" spans="2:7">
      <c r="B19" s="655"/>
      <c r="C19" s="656"/>
      <c r="D19" s="656"/>
      <c r="E19" s="656"/>
      <c r="F19" s="656"/>
      <c r="G19" s="657"/>
    </row>
    <row r="20" spans="2:7" ht="15" thickBot="1">
      <c r="B20" s="658"/>
      <c r="C20" s="659"/>
      <c r="D20" s="659"/>
      <c r="E20" s="659"/>
      <c r="F20" s="659"/>
      <c r="G20" s="660"/>
    </row>
  </sheetData>
  <mergeCells count="11">
    <mergeCell ref="E2:G3"/>
    <mergeCell ref="F9:G9"/>
    <mergeCell ref="F10:G10"/>
    <mergeCell ref="B12:G20"/>
    <mergeCell ref="B4:C8"/>
    <mergeCell ref="F4:G4"/>
    <mergeCell ref="F5:G5"/>
    <mergeCell ref="F6:G6"/>
    <mergeCell ref="F7:G7"/>
    <mergeCell ref="F8:G8"/>
    <mergeCell ref="B9:C10"/>
  </mergeCells>
  <dataValidations count="2">
    <dataValidation type="whole" operator="lessThan" allowBlank="1" showInputMessage="1" showErrorMessage="1" sqref="A1:A1048576 C1:C8 B11:C1048576 B1:B8 D1:D1048576 H1:XFD1048576 E1:G1 E4:G1048576" xr:uid="{00000000-0002-0000-0A00-000000000000}">
      <formula1>0</formula1>
    </dataValidation>
    <dataValidation operator="lessThan" allowBlank="1" showInputMessage="1" showErrorMessage="1" sqref="B9 E2:G3" xr:uid="{00000000-0002-0000-0A00-000001000000}"/>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autoPageBreaks="0" fitToPage="1"/>
  </sheetPr>
  <dimension ref="A1:F35"/>
  <sheetViews>
    <sheetView showGridLines="0" view="pageBreakPreview" topLeftCell="A15" zoomScale="107" zoomScaleSheetLayoutView="70" workbookViewId="0">
      <selection activeCell="B18" sqref="B18"/>
    </sheetView>
  </sheetViews>
  <sheetFormatPr defaultRowHeight="12.5"/>
  <cols>
    <col min="1" max="1" width="3.453125" style="59" customWidth="1"/>
    <col min="2" max="2" width="35.453125" style="59" customWidth="1"/>
    <col min="3" max="3" width="25.54296875" style="59" customWidth="1"/>
    <col min="4" max="4" width="9.90625" style="59" customWidth="1"/>
    <col min="5" max="5" width="14.6328125" style="59" customWidth="1"/>
    <col min="6" max="6" width="53.453125" style="59" customWidth="1"/>
    <col min="7" max="258" width="9.08984375" style="59"/>
    <col min="259" max="259" width="2.08984375" style="59" customWidth="1"/>
    <col min="260" max="260" width="50" style="59" customWidth="1"/>
    <col min="261" max="261" width="1.6328125" style="59" customWidth="1"/>
    <col min="262" max="262" width="53.453125" style="59" customWidth="1"/>
    <col min="263" max="514" width="9.08984375" style="59"/>
    <col min="515" max="515" width="2.08984375" style="59" customWidth="1"/>
    <col min="516" max="516" width="50" style="59" customWidth="1"/>
    <col min="517" max="517" width="1.6328125" style="59" customWidth="1"/>
    <col min="518" max="518" width="53.453125" style="59" customWidth="1"/>
    <col min="519" max="770" width="9.08984375" style="59"/>
    <col min="771" max="771" width="2.08984375" style="59" customWidth="1"/>
    <col min="772" max="772" width="50" style="59" customWidth="1"/>
    <col min="773" max="773" width="1.6328125" style="59" customWidth="1"/>
    <col min="774" max="774" width="53.453125" style="59" customWidth="1"/>
    <col min="775" max="1026" width="9.08984375" style="59"/>
    <col min="1027" max="1027" width="2.08984375" style="59" customWidth="1"/>
    <col min="1028" max="1028" width="50" style="59" customWidth="1"/>
    <col min="1029" max="1029" width="1.6328125" style="59" customWidth="1"/>
    <col min="1030" max="1030" width="53.453125" style="59" customWidth="1"/>
    <col min="1031" max="1282" width="9.08984375" style="59"/>
    <col min="1283" max="1283" width="2.08984375" style="59" customWidth="1"/>
    <col min="1284" max="1284" width="50" style="59" customWidth="1"/>
    <col min="1285" max="1285" width="1.6328125" style="59" customWidth="1"/>
    <col min="1286" max="1286" width="53.453125" style="59" customWidth="1"/>
    <col min="1287" max="1538" width="9.08984375" style="59"/>
    <col min="1539" max="1539" width="2.08984375" style="59" customWidth="1"/>
    <col min="1540" max="1540" width="50" style="59" customWidth="1"/>
    <col min="1541" max="1541" width="1.6328125" style="59" customWidth="1"/>
    <col min="1542" max="1542" width="53.453125" style="59" customWidth="1"/>
    <col min="1543" max="1794" width="9.08984375" style="59"/>
    <col min="1795" max="1795" width="2.08984375" style="59" customWidth="1"/>
    <col min="1796" max="1796" width="50" style="59" customWidth="1"/>
    <col min="1797" max="1797" width="1.6328125" style="59" customWidth="1"/>
    <col min="1798" max="1798" width="53.453125" style="59" customWidth="1"/>
    <col min="1799" max="2050" width="9.08984375" style="59"/>
    <col min="2051" max="2051" width="2.08984375" style="59" customWidth="1"/>
    <col min="2052" max="2052" width="50" style="59" customWidth="1"/>
    <col min="2053" max="2053" width="1.6328125" style="59" customWidth="1"/>
    <col min="2054" max="2054" width="53.453125" style="59" customWidth="1"/>
    <col min="2055" max="2306" width="9.08984375" style="59"/>
    <col min="2307" max="2307" width="2.08984375" style="59" customWidth="1"/>
    <col min="2308" max="2308" width="50" style="59" customWidth="1"/>
    <col min="2309" max="2309" width="1.6328125" style="59" customWidth="1"/>
    <col min="2310" max="2310" width="53.453125" style="59" customWidth="1"/>
    <col min="2311" max="2562" width="9.08984375" style="59"/>
    <col min="2563" max="2563" width="2.08984375" style="59" customWidth="1"/>
    <col min="2564" max="2564" width="50" style="59" customWidth="1"/>
    <col min="2565" max="2565" width="1.6328125" style="59" customWidth="1"/>
    <col min="2566" max="2566" width="53.453125" style="59" customWidth="1"/>
    <col min="2567" max="2818" width="9.08984375" style="59"/>
    <col min="2819" max="2819" width="2.08984375" style="59" customWidth="1"/>
    <col min="2820" max="2820" width="50" style="59" customWidth="1"/>
    <col min="2821" max="2821" width="1.6328125" style="59" customWidth="1"/>
    <col min="2822" max="2822" width="53.453125" style="59" customWidth="1"/>
    <col min="2823" max="3074" width="9.08984375" style="59"/>
    <col min="3075" max="3075" width="2.08984375" style="59" customWidth="1"/>
    <col min="3076" max="3076" width="50" style="59" customWidth="1"/>
    <col min="3077" max="3077" width="1.6328125" style="59" customWidth="1"/>
    <col min="3078" max="3078" width="53.453125" style="59" customWidth="1"/>
    <col min="3079" max="3330" width="9.08984375" style="59"/>
    <col min="3331" max="3331" width="2.08984375" style="59" customWidth="1"/>
    <col min="3332" max="3332" width="50" style="59" customWidth="1"/>
    <col min="3333" max="3333" width="1.6328125" style="59" customWidth="1"/>
    <col min="3334" max="3334" width="53.453125" style="59" customWidth="1"/>
    <col min="3335" max="3586" width="9.08984375" style="59"/>
    <col min="3587" max="3587" width="2.08984375" style="59" customWidth="1"/>
    <col min="3588" max="3588" width="50" style="59" customWidth="1"/>
    <col min="3589" max="3589" width="1.6328125" style="59" customWidth="1"/>
    <col min="3590" max="3590" width="53.453125" style="59" customWidth="1"/>
    <col min="3591" max="3842" width="9.08984375" style="59"/>
    <col min="3843" max="3843" width="2.08984375" style="59" customWidth="1"/>
    <col min="3844" max="3844" width="50" style="59" customWidth="1"/>
    <col min="3845" max="3845" width="1.6328125" style="59" customWidth="1"/>
    <col min="3846" max="3846" width="53.453125" style="59" customWidth="1"/>
    <col min="3847" max="4098" width="9.08984375" style="59"/>
    <col min="4099" max="4099" width="2.08984375" style="59" customWidth="1"/>
    <col min="4100" max="4100" width="50" style="59" customWidth="1"/>
    <col min="4101" max="4101" width="1.6328125" style="59" customWidth="1"/>
    <col min="4102" max="4102" width="53.453125" style="59" customWidth="1"/>
    <col min="4103" max="4354" width="9.08984375" style="59"/>
    <col min="4355" max="4355" width="2.08984375" style="59" customWidth="1"/>
    <col min="4356" max="4356" width="50" style="59" customWidth="1"/>
    <col min="4357" max="4357" width="1.6328125" style="59" customWidth="1"/>
    <col min="4358" max="4358" width="53.453125" style="59" customWidth="1"/>
    <col min="4359" max="4610" width="9.08984375" style="59"/>
    <col min="4611" max="4611" width="2.08984375" style="59" customWidth="1"/>
    <col min="4612" max="4612" width="50" style="59" customWidth="1"/>
    <col min="4613" max="4613" width="1.6328125" style="59" customWidth="1"/>
    <col min="4614" max="4614" width="53.453125" style="59" customWidth="1"/>
    <col min="4615" max="4866" width="9.08984375" style="59"/>
    <col min="4867" max="4867" width="2.08984375" style="59" customWidth="1"/>
    <col min="4868" max="4868" width="50" style="59" customWidth="1"/>
    <col min="4869" max="4869" width="1.6328125" style="59" customWidth="1"/>
    <col min="4870" max="4870" width="53.453125" style="59" customWidth="1"/>
    <col min="4871" max="5122" width="9.08984375" style="59"/>
    <col min="5123" max="5123" width="2.08984375" style="59" customWidth="1"/>
    <col min="5124" max="5124" width="50" style="59" customWidth="1"/>
    <col min="5125" max="5125" width="1.6328125" style="59" customWidth="1"/>
    <col min="5126" max="5126" width="53.453125" style="59" customWidth="1"/>
    <col min="5127" max="5378" width="9.08984375" style="59"/>
    <col min="5379" max="5379" width="2.08984375" style="59" customWidth="1"/>
    <col min="5380" max="5380" width="50" style="59" customWidth="1"/>
    <col min="5381" max="5381" width="1.6328125" style="59" customWidth="1"/>
    <col min="5382" max="5382" width="53.453125" style="59" customWidth="1"/>
    <col min="5383" max="5634" width="9.08984375" style="59"/>
    <col min="5635" max="5635" width="2.08984375" style="59" customWidth="1"/>
    <col min="5636" max="5636" width="50" style="59" customWidth="1"/>
    <col min="5637" max="5637" width="1.6328125" style="59" customWidth="1"/>
    <col min="5638" max="5638" width="53.453125" style="59" customWidth="1"/>
    <col min="5639" max="5890" width="9.08984375" style="59"/>
    <col min="5891" max="5891" width="2.08984375" style="59" customWidth="1"/>
    <col min="5892" max="5892" width="50" style="59" customWidth="1"/>
    <col min="5893" max="5893" width="1.6328125" style="59" customWidth="1"/>
    <col min="5894" max="5894" width="53.453125" style="59" customWidth="1"/>
    <col min="5895" max="6146" width="9.08984375" style="59"/>
    <col min="6147" max="6147" width="2.08984375" style="59" customWidth="1"/>
    <col min="6148" max="6148" width="50" style="59" customWidth="1"/>
    <col min="6149" max="6149" width="1.6328125" style="59" customWidth="1"/>
    <col min="6150" max="6150" width="53.453125" style="59" customWidth="1"/>
    <col min="6151" max="6402" width="9.08984375" style="59"/>
    <col min="6403" max="6403" width="2.08984375" style="59" customWidth="1"/>
    <col min="6404" max="6404" width="50" style="59" customWidth="1"/>
    <col min="6405" max="6405" width="1.6328125" style="59" customWidth="1"/>
    <col min="6406" max="6406" width="53.453125" style="59" customWidth="1"/>
    <col min="6407" max="6658" width="9.08984375" style="59"/>
    <col min="6659" max="6659" width="2.08984375" style="59" customWidth="1"/>
    <col min="6660" max="6660" width="50" style="59" customWidth="1"/>
    <col min="6661" max="6661" width="1.6328125" style="59" customWidth="1"/>
    <col min="6662" max="6662" width="53.453125" style="59" customWidth="1"/>
    <col min="6663" max="6914" width="9.08984375" style="59"/>
    <col min="6915" max="6915" width="2.08984375" style="59" customWidth="1"/>
    <col min="6916" max="6916" width="50" style="59" customWidth="1"/>
    <col min="6917" max="6917" width="1.6328125" style="59" customWidth="1"/>
    <col min="6918" max="6918" width="53.453125" style="59" customWidth="1"/>
    <col min="6919" max="7170" width="9.08984375" style="59"/>
    <col min="7171" max="7171" width="2.08984375" style="59" customWidth="1"/>
    <col min="7172" max="7172" width="50" style="59" customWidth="1"/>
    <col min="7173" max="7173" width="1.6328125" style="59" customWidth="1"/>
    <col min="7174" max="7174" width="53.453125" style="59" customWidth="1"/>
    <col min="7175" max="7426" width="9.08984375" style="59"/>
    <col min="7427" max="7427" width="2.08984375" style="59" customWidth="1"/>
    <col min="7428" max="7428" width="50" style="59" customWidth="1"/>
    <col min="7429" max="7429" width="1.6328125" style="59" customWidth="1"/>
    <col min="7430" max="7430" width="53.453125" style="59" customWidth="1"/>
    <col min="7431" max="7682" width="9.08984375" style="59"/>
    <col min="7683" max="7683" width="2.08984375" style="59" customWidth="1"/>
    <col min="7684" max="7684" width="50" style="59" customWidth="1"/>
    <col min="7685" max="7685" width="1.6328125" style="59" customWidth="1"/>
    <col min="7686" max="7686" width="53.453125" style="59" customWidth="1"/>
    <col min="7687" max="7938" width="9.08984375" style="59"/>
    <col min="7939" max="7939" width="2.08984375" style="59" customWidth="1"/>
    <col min="7940" max="7940" width="50" style="59" customWidth="1"/>
    <col min="7941" max="7941" width="1.6328125" style="59" customWidth="1"/>
    <col min="7942" max="7942" width="53.453125" style="59" customWidth="1"/>
    <col min="7943" max="8194" width="9.08984375" style="59"/>
    <col min="8195" max="8195" width="2.08984375" style="59" customWidth="1"/>
    <col min="8196" max="8196" width="50" style="59" customWidth="1"/>
    <col min="8197" max="8197" width="1.6328125" style="59" customWidth="1"/>
    <col min="8198" max="8198" width="53.453125" style="59" customWidth="1"/>
    <col min="8199" max="8450" width="9.08984375" style="59"/>
    <col min="8451" max="8451" width="2.08984375" style="59" customWidth="1"/>
    <col min="8452" max="8452" width="50" style="59" customWidth="1"/>
    <col min="8453" max="8453" width="1.6328125" style="59" customWidth="1"/>
    <col min="8454" max="8454" width="53.453125" style="59" customWidth="1"/>
    <col min="8455" max="8706" width="9.08984375" style="59"/>
    <col min="8707" max="8707" width="2.08984375" style="59" customWidth="1"/>
    <col min="8708" max="8708" width="50" style="59" customWidth="1"/>
    <col min="8709" max="8709" width="1.6328125" style="59" customWidth="1"/>
    <col min="8710" max="8710" width="53.453125" style="59" customWidth="1"/>
    <col min="8711" max="8962" width="9.08984375" style="59"/>
    <col min="8963" max="8963" width="2.08984375" style="59" customWidth="1"/>
    <col min="8964" max="8964" width="50" style="59" customWidth="1"/>
    <col min="8965" max="8965" width="1.6328125" style="59" customWidth="1"/>
    <col min="8966" max="8966" width="53.453125" style="59" customWidth="1"/>
    <col min="8967" max="9218" width="9.08984375" style="59"/>
    <col min="9219" max="9219" width="2.08984375" style="59" customWidth="1"/>
    <col min="9220" max="9220" width="50" style="59" customWidth="1"/>
    <col min="9221" max="9221" width="1.6328125" style="59" customWidth="1"/>
    <col min="9222" max="9222" width="53.453125" style="59" customWidth="1"/>
    <col min="9223" max="9474" width="9.08984375" style="59"/>
    <col min="9475" max="9475" width="2.08984375" style="59" customWidth="1"/>
    <col min="9476" max="9476" width="50" style="59" customWidth="1"/>
    <col min="9477" max="9477" width="1.6328125" style="59" customWidth="1"/>
    <col min="9478" max="9478" width="53.453125" style="59" customWidth="1"/>
    <col min="9479" max="9730" width="9.08984375" style="59"/>
    <col min="9731" max="9731" width="2.08984375" style="59" customWidth="1"/>
    <col min="9732" max="9732" width="50" style="59" customWidth="1"/>
    <col min="9733" max="9733" width="1.6328125" style="59" customWidth="1"/>
    <col min="9734" max="9734" width="53.453125" style="59" customWidth="1"/>
    <col min="9735" max="9986" width="9.08984375" style="59"/>
    <col min="9987" max="9987" width="2.08984375" style="59" customWidth="1"/>
    <col min="9988" max="9988" width="50" style="59" customWidth="1"/>
    <col min="9989" max="9989" width="1.6328125" style="59" customWidth="1"/>
    <col min="9990" max="9990" width="53.453125" style="59" customWidth="1"/>
    <col min="9991" max="10242" width="9.08984375" style="59"/>
    <col min="10243" max="10243" width="2.08984375" style="59" customWidth="1"/>
    <col min="10244" max="10244" width="50" style="59" customWidth="1"/>
    <col min="10245" max="10245" width="1.6328125" style="59" customWidth="1"/>
    <col min="10246" max="10246" width="53.453125" style="59" customWidth="1"/>
    <col min="10247" max="10498" width="9.08984375" style="59"/>
    <col min="10499" max="10499" width="2.08984375" style="59" customWidth="1"/>
    <col min="10500" max="10500" width="50" style="59" customWidth="1"/>
    <col min="10501" max="10501" width="1.6328125" style="59" customWidth="1"/>
    <col min="10502" max="10502" width="53.453125" style="59" customWidth="1"/>
    <col min="10503" max="10754" width="9.08984375" style="59"/>
    <col min="10755" max="10755" width="2.08984375" style="59" customWidth="1"/>
    <col min="10756" max="10756" width="50" style="59" customWidth="1"/>
    <col min="10757" max="10757" width="1.6328125" style="59" customWidth="1"/>
    <col min="10758" max="10758" width="53.453125" style="59" customWidth="1"/>
    <col min="10759" max="11010" width="9.08984375" style="59"/>
    <col min="11011" max="11011" width="2.08984375" style="59" customWidth="1"/>
    <col min="11012" max="11012" width="50" style="59" customWidth="1"/>
    <col min="11013" max="11013" width="1.6328125" style="59" customWidth="1"/>
    <col min="11014" max="11014" width="53.453125" style="59" customWidth="1"/>
    <col min="11015" max="11266" width="9.08984375" style="59"/>
    <col min="11267" max="11267" width="2.08984375" style="59" customWidth="1"/>
    <col min="11268" max="11268" width="50" style="59" customWidth="1"/>
    <col min="11269" max="11269" width="1.6328125" style="59" customWidth="1"/>
    <col min="11270" max="11270" width="53.453125" style="59" customWidth="1"/>
    <col min="11271" max="11522" width="9.08984375" style="59"/>
    <col min="11523" max="11523" width="2.08984375" style="59" customWidth="1"/>
    <col min="11524" max="11524" width="50" style="59" customWidth="1"/>
    <col min="11525" max="11525" width="1.6328125" style="59" customWidth="1"/>
    <col min="11526" max="11526" width="53.453125" style="59" customWidth="1"/>
    <col min="11527" max="11778" width="9.08984375" style="59"/>
    <col min="11779" max="11779" width="2.08984375" style="59" customWidth="1"/>
    <col min="11780" max="11780" width="50" style="59" customWidth="1"/>
    <col min="11781" max="11781" width="1.6328125" style="59" customWidth="1"/>
    <col min="11782" max="11782" width="53.453125" style="59" customWidth="1"/>
    <col min="11783" max="12034" width="9.08984375" style="59"/>
    <col min="12035" max="12035" width="2.08984375" style="59" customWidth="1"/>
    <col min="12036" max="12036" width="50" style="59" customWidth="1"/>
    <col min="12037" max="12037" width="1.6328125" style="59" customWidth="1"/>
    <col min="12038" max="12038" width="53.453125" style="59" customWidth="1"/>
    <col min="12039" max="12290" width="9.08984375" style="59"/>
    <col min="12291" max="12291" width="2.08984375" style="59" customWidth="1"/>
    <col min="12292" max="12292" width="50" style="59" customWidth="1"/>
    <col min="12293" max="12293" width="1.6328125" style="59" customWidth="1"/>
    <col min="12294" max="12294" width="53.453125" style="59" customWidth="1"/>
    <col min="12295" max="12546" width="9.08984375" style="59"/>
    <col min="12547" max="12547" width="2.08984375" style="59" customWidth="1"/>
    <col min="12548" max="12548" width="50" style="59" customWidth="1"/>
    <col min="12549" max="12549" width="1.6328125" style="59" customWidth="1"/>
    <col min="12550" max="12550" width="53.453125" style="59" customWidth="1"/>
    <col min="12551" max="12802" width="9.08984375" style="59"/>
    <col min="12803" max="12803" width="2.08984375" style="59" customWidth="1"/>
    <col min="12804" max="12804" width="50" style="59" customWidth="1"/>
    <col min="12805" max="12805" width="1.6328125" style="59" customWidth="1"/>
    <col min="12806" max="12806" width="53.453125" style="59" customWidth="1"/>
    <col min="12807" max="13058" width="9.08984375" style="59"/>
    <col min="13059" max="13059" width="2.08984375" style="59" customWidth="1"/>
    <col min="13060" max="13060" width="50" style="59" customWidth="1"/>
    <col min="13061" max="13061" width="1.6328125" style="59" customWidth="1"/>
    <col min="13062" max="13062" width="53.453125" style="59" customWidth="1"/>
    <col min="13063" max="13314" width="9.08984375" style="59"/>
    <col min="13315" max="13315" width="2.08984375" style="59" customWidth="1"/>
    <col min="13316" max="13316" width="50" style="59" customWidth="1"/>
    <col min="13317" max="13317" width="1.6328125" style="59" customWidth="1"/>
    <col min="13318" max="13318" width="53.453125" style="59" customWidth="1"/>
    <col min="13319" max="13570" width="9.08984375" style="59"/>
    <col min="13571" max="13571" width="2.08984375" style="59" customWidth="1"/>
    <col min="13572" max="13572" width="50" style="59" customWidth="1"/>
    <col min="13573" max="13573" width="1.6328125" style="59" customWidth="1"/>
    <col min="13574" max="13574" width="53.453125" style="59" customWidth="1"/>
    <col min="13575" max="13826" width="9.08984375" style="59"/>
    <col min="13827" max="13827" width="2.08984375" style="59" customWidth="1"/>
    <col min="13828" max="13828" width="50" style="59" customWidth="1"/>
    <col min="13829" max="13829" width="1.6328125" style="59" customWidth="1"/>
    <col min="13830" max="13830" width="53.453125" style="59" customWidth="1"/>
    <col min="13831" max="14082" width="9.08984375" style="59"/>
    <col min="14083" max="14083" width="2.08984375" style="59" customWidth="1"/>
    <col min="14084" max="14084" width="50" style="59" customWidth="1"/>
    <col min="14085" max="14085" width="1.6328125" style="59" customWidth="1"/>
    <col min="14086" max="14086" width="53.453125" style="59" customWidth="1"/>
    <col min="14087" max="14338" width="9.08984375" style="59"/>
    <col min="14339" max="14339" width="2.08984375" style="59" customWidth="1"/>
    <col min="14340" max="14340" width="50" style="59" customWidth="1"/>
    <col min="14341" max="14341" width="1.6328125" style="59" customWidth="1"/>
    <col min="14342" max="14342" width="53.453125" style="59" customWidth="1"/>
    <col min="14343" max="14594" width="9.08984375" style="59"/>
    <col min="14595" max="14595" width="2.08984375" style="59" customWidth="1"/>
    <col min="14596" max="14596" width="50" style="59" customWidth="1"/>
    <col min="14597" max="14597" width="1.6328125" style="59" customWidth="1"/>
    <col min="14598" max="14598" width="53.453125" style="59" customWidth="1"/>
    <col min="14599" max="14850" width="9.08984375" style="59"/>
    <col min="14851" max="14851" width="2.08984375" style="59" customWidth="1"/>
    <col min="14852" max="14852" width="50" style="59" customWidth="1"/>
    <col min="14853" max="14853" width="1.6328125" style="59" customWidth="1"/>
    <col min="14854" max="14854" width="53.453125" style="59" customWidth="1"/>
    <col min="14855" max="15106" width="9.08984375" style="59"/>
    <col min="15107" max="15107" width="2.08984375" style="59" customWidth="1"/>
    <col min="15108" max="15108" width="50" style="59" customWidth="1"/>
    <col min="15109" max="15109" width="1.6328125" style="59" customWidth="1"/>
    <col min="15110" max="15110" width="53.453125" style="59" customWidth="1"/>
    <col min="15111" max="15362" width="9.08984375" style="59"/>
    <col min="15363" max="15363" width="2.08984375" style="59" customWidth="1"/>
    <col min="15364" max="15364" width="50" style="59" customWidth="1"/>
    <col min="15365" max="15365" width="1.6328125" style="59" customWidth="1"/>
    <col min="15366" max="15366" width="53.453125" style="59" customWidth="1"/>
    <col min="15367" max="15618" width="9.08984375" style="59"/>
    <col min="15619" max="15619" width="2.08984375" style="59" customWidth="1"/>
    <col min="15620" max="15620" width="50" style="59" customWidth="1"/>
    <col min="15621" max="15621" width="1.6328125" style="59" customWidth="1"/>
    <col min="15622" max="15622" width="53.453125" style="59" customWidth="1"/>
    <col min="15623" max="15874" width="9.08984375" style="59"/>
    <col min="15875" max="15875" width="2.08984375" style="59" customWidth="1"/>
    <col min="15876" max="15876" width="50" style="59" customWidth="1"/>
    <col min="15877" max="15877" width="1.6328125" style="59" customWidth="1"/>
    <col min="15878" max="15878" width="53.453125" style="59" customWidth="1"/>
    <col min="15879" max="16130" width="9.08984375" style="59"/>
    <col min="16131" max="16131" width="2.08984375" style="59" customWidth="1"/>
    <col min="16132" max="16132" width="50" style="59" customWidth="1"/>
    <col min="16133" max="16133" width="1.6328125" style="59" customWidth="1"/>
    <col min="16134" max="16134" width="53.453125" style="59" customWidth="1"/>
    <col min="16135" max="16384" width="9.08984375" style="59"/>
  </cols>
  <sheetData>
    <row r="1" spans="1:6" ht="12.75" customHeight="1">
      <c r="A1" s="324"/>
      <c r="B1" s="325"/>
      <c r="C1" s="325"/>
      <c r="D1" s="325"/>
      <c r="E1" s="325"/>
      <c r="F1" s="326"/>
    </row>
    <row r="2" spans="1:6" ht="15" customHeight="1">
      <c r="A2" s="322"/>
      <c r="B2" s="323" t="s">
        <v>858</v>
      </c>
      <c r="C2" s="323"/>
      <c r="D2" s="323"/>
      <c r="E2" s="323"/>
      <c r="F2" s="327"/>
    </row>
    <row r="3" spans="1:6" ht="15" customHeight="1">
      <c r="A3" s="322"/>
      <c r="B3" s="323"/>
      <c r="C3" s="323"/>
      <c r="D3" s="323"/>
      <c r="E3" s="323"/>
      <c r="F3" s="327"/>
    </row>
    <row r="4" spans="1:6" ht="15" customHeight="1">
      <c r="A4" s="322"/>
      <c r="B4" s="673" t="str">
        <f>HRIS!A23</f>
        <v xml:space="preserve">, , , </v>
      </c>
      <c r="C4" s="323"/>
      <c r="D4" s="323"/>
      <c r="E4" s="323"/>
      <c r="F4" s="327"/>
    </row>
    <row r="5" spans="1:6" ht="15" customHeight="1">
      <c r="A5" s="322"/>
      <c r="B5" s="673"/>
      <c r="C5" s="323"/>
      <c r="D5" s="323"/>
      <c r="E5" s="323"/>
      <c r="F5" s="327"/>
    </row>
    <row r="6" spans="1:6" ht="15" customHeight="1">
      <c r="A6" s="322"/>
      <c r="B6" s="673"/>
      <c r="C6" s="323"/>
      <c r="D6" s="323"/>
      <c r="E6" s="323"/>
      <c r="F6" s="327"/>
    </row>
    <row r="7" spans="1:6" ht="15" customHeight="1">
      <c r="A7" s="322"/>
      <c r="B7" s="673"/>
      <c r="C7" s="323"/>
      <c r="D7" s="323"/>
      <c r="E7" s="323"/>
      <c r="F7" s="327"/>
    </row>
    <row r="8" spans="1:6" ht="15" customHeight="1">
      <c r="A8" s="322"/>
      <c r="B8" s="323"/>
      <c r="C8" s="323"/>
      <c r="D8" s="323"/>
      <c r="E8" s="323"/>
      <c r="F8" s="327"/>
    </row>
    <row r="9" spans="1:6" ht="15" customHeight="1">
      <c r="A9" s="322"/>
      <c r="B9" s="673" t="s">
        <v>859</v>
      </c>
      <c r="C9" s="323"/>
      <c r="D9" s="323"/>
      <c r="E9" s="323"/>
      <c r="F9" s="327"/>
    </row>
    <row r="10" spans="1:6" ht="15" customHeight="1">
      <c r="A10" s="322"/>
      <c r="B10" s="673"/>
      <c r="C10" s="323"/>
      <c r="D10" s="323"/>
      <c r="E10" s="323"/>
      <c r="F10" s="327"/>
    </row>
    <row r="11" spans="1:6" ht="15" customHeight="1">
      <c r="A11" s="322"/>
      <c r="B11" s="673"/>
      <c r="C11" s="323"/>
      <c r="D11" s="323"/>
      <c r="E11" s="323"/>
      <c r="F11" s="327"/>
    </row>
    <row r="12" spans="1:6" ht="15" customHeight="1">
      <c r="A12" s="322"/>
      <c r="B12" s="673"/>
      <c r="C12" s="323"/>
      <c r="D12" s="323"/>
      <c r="E12" s="323"/>
      <c r="F12" s="327"/>
    </row>
    <row r="13" spans="1:6" ht="15" customHeight="1">
      <c r="A13" s="322"/>
    </row>
    <row r="14" spans="1:6" ht="15" customHeight="1">
      <c r="A14" s="322"/>
      <c r="B14" s="674" t="s">
        <v>860</v>
      </c>
      <c r="C14" s="674"/>
      <c r="D14" s="674"/>
      <c r="E14" s="674"/>
      <c r="F14" s="675"/>
    </row>
    <row r="15" spans="1:6" ht="15" customHeight="1">
      <c r="A15" s="322"/>
      <c r="B15" s="323"/>
      <c r="C15" s="323"/>
      <c r="D15" s="323"/>
      <c r="E15" s="323"/>
      <c r="F15" s="327"/>
    </row>
    <row r="16" spans="1:6" ht="15" customHeight="1">
      <c r="A16" s="322"/>
      <c r="B16" s="323"/>
      <c r="C16" s="323"/>
      <c r="D16" s="323"/>
      <c r="E16" s="323"/>
      <c r="F16" s="327"/>
    </row>
    <row r="17" spans="1:6" ht="15" customHeight="1">
      <c r="A17" s="322"/>
      <c r="B17" s="321" t="s">
        <v>861</v>
      </c>
      <c r="C17" s="331">
        <f>HRIS!B68</f>
        <v>0</v>
      </c>
      <c r="D17" s="673" t="s">
        <v>862</v>
      </c>
      <c r="E17" s="673"/>
      <c r="F17" s="676"/>
    </row>
    <row r="18" spans="1:6" ht="15" customHeight="1">
      <c r="A18" s="322"/>
      <c r="B18" s="323" t="s">
        <v>863</v>
      </c>
      <c r="C18" s="321">
        <f>HRIS!B14</f>
        <v>0</v>
      </c>
      <c r="D18" s="333" t="s">
        <v>864</v>
      </c>
      <c r="E18" s="331">
        <f>C17</f>
        <v>0</v>
      </c>
      <c r="F18" s="332" t="s">
        <v>865</v>
      </c>
    </row>
    <row r="19" spans="1:6" ht="15" customHeight="1">
      <c r="A19" s="322"/>
      <c r="B19" s="673" t="s">
        <v>866</v>
      </c>
      <c r="C19" s="673"/>
      <c r="D19" s="673"/>
      <c r="E19" s="673"/>
      <c r="F19" s="676"/>
    </row>
    <row r="20" spans="1:6" ht="15" customHeight="1">
      <c r="A20" s="322"/>
      <c r="B20" s="673"/>
      <c r="C20" s="673"/>
      <c r="D20" s="673"/>
      <c r="E20" s="673"/>
      <c r="F20" s="676"/>
    </row>
    <row r="21" spans="1:6" ht="15" customHeight="1">
      <c r="A21" s="322"/>
      <c r="B21" s="673" t="s">
        <v>868</v>
      </c>
      <c r="C21" s="673"/>
      <c r="D21" s="673"/>
      <c r="E21" s="673"/>
      <c r="F21" s="676"/>
    </row>
    <row r="22" spans="1:6" ht="15" customHeight="1">
      <c r="A22" s="322"/>
      <c r="B22" s="673"/>
      <c r="C22" s="673"/>
      <c r="D22" s="673"/>
      <c r="E22" s="673"/>
      <c r="F22" s="676"/>
    </row>
    <row r="23" spans="1:6" ht="15" customHeight="1">
      <c r="A23" s="322"/>
      <c r="B23" s="673"/>
      <c r="C23" s="673"/>
      <c r="D23" s="673"/>
      <c r="E23" s="673"/>
      <c r="F23" s="676"/>
    </row>
    <row r="24" spans="1:6" ht="15" customHeight="1">
      <c r="A24" s="322"/>
      <c r="B24" s="673"/>
      <c r="C24" s="673"/>
      <c r="D24" s="673"/>
      <c r="E24" s="673"/>
      <c r="F24" s="676"/>
    </row>
    <row r="25" spans="1:6" ht="15" customHeight="1">
      <c r="A25" s="322"/>
      <c r="B25" s="673"/>
      <c r="C25" s="673"/>
      <c r="D25" s="673"/>
      <c r="E25" s="673"/>
      <c r="F25" s="676"/>
    </row>
    <row r="26" spans="1:6" ht="15" customHeight="1">
      <c r="A26" s="322"/>
      <c r="B26" s="673"/>
      <c r="C26" s="673"/>
      <c r="D26" s="673"/>
      <c r="E26" s="673"/>
      <c r="F26" s="676"/>
    </row>
    <row r="27" spans="1:6" ht="15" customHeight="1">
      <c r="A27" s="322"/>
      <c r="B27" s="673"/>
      <c r="C27" s="673"/>
      <c r="D27" s="673"/>
      <c r="E27" s="673"/>
      <c r="F27" s="676"/>
    </row>
    <row r="28" spans="1:6" ht="15" customHeight="1">
      <c r="A28" s="322"/>
      <c r="B28" s="673"/>
      <c r="C28" s="673"/>
      <c r="D28" s="673"/>
      <c r="E28" s="673"/>
      <c r="F28" s="676"/>
    </row>
    <row r="29" spans="1:6" ht="15" customHeight="1">
      <c r="A29" s="322"/>
      <c r="B29" s="673"/>
      <c r="C29" s="673"/>
      <c r="D29" s="673"/>
      <c r="E29" s="673"/>
      <c r="F29" s="676"/>
    </row>
    <row r="30" spans="1:6" ht="15" customHeight="1">
      <c r="A30" s="322"/>
      <c r="B30" s="673"/>
      <c r="C30" s="673"/>
      <c r="D30" s="673"/>
      <c r="E30" s="673"/>
      <c r="F30" s="676"/>
    </row>
    <row r="31" spans="1:6" ht="15" customHeight="1">
      <c r="A31" s="322"/>
      <c r="B31" s="673"/>
      <c r="C31" s="673"/>
      <c r="D31" s="673"/>
      <c r="E31" s="673"/>
      <c r="F31" s="676"/>
    </row>
    <row r="32" spans="1:6" ht="15" customHeight="1">
      <c r="A32" s="322"/>
      <c r="B32" s="323"/>
      <c r="C32" s="323"/>
      <c r="D32" s="323"/>
      <c r="E32" s="323"/>
      <c r="F32" s="327"/>
    </row>
    <row r="33" spans="1:6" ht="15" customHeight="1">
      <c r="A33" s="322"/>
      <c r="B33" s="323"/>
      <c r="C33" s="323"/>
      <c r="D33" s="323"/>
      <c r="E33" s="323"/>
      <c r="F33" s="327"/>
    </row>
    <row r="34" spans="1:6" ht="15" customHeight="1">
      <c r="A34" s="322"/>
      <c r="B34" s="323"/>
      <c r="C34" s="323"/>
      <c r="D34" s="323"/>
      <c r="E34" s="323"/>
      <c r="F34" s="327"/>
    </row>
    <row r="35" spans="1:6" ht="15" customHeight="1" thickBot="1">
      <c r="A35" s="328"/>
      <c r="B35" s="329"/>
      <c r="C35" s="329"/>
      <c r="D35" s="329"/>
      <c r="E35" s="329"/>
      <c r="F35" s="330"/>
    </row>
  </sheetData>
  <mergeCells count="8">
    <mergeCell ref="B4:B7"/>
    <mergeCell ref="B14:F14"/>
    <mergeCell ref="D17:F17"/>
    <mergeCell ref="B31:F31"/>
    <mergeCell ref="B21:F30"/>
    <mergeCell ref="B19:F19"/>
    <mergeCell ref="B20:F20"/>
    <mergeCell ref="B9:B12"/>
  </mergeCells>
  <printOptions horizontalCentered="1"/>
  <pageMargins left="0.21" right="0.17" top="0.46" bottom="0.4" header="0.32" footer="0.22"/>
  <pageSetup paperSize="9" scale="71"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OBFORMAT</vt:lpstr>
      <vt:lpstr>Data entry sheet</vt:lpstr>
      <vt:lpstr>HRIS</vt:lpstr>
      <vt:lpstr>ConsentForm</vt:lpstr>
      <vt:lpstr>PF1</vt:lpstr>
      <vt:lpstr>PF2</vt:lpstr>
      <vt:lpstr>PF3</vt:lpstr>
      <vt:lpstr>Gratuity</vt:lpstr>
      <vt:lpstr>ESIC</vt:lpstr>
      <vt:lpstr>Employment Card</vt:lpstr>
      <vt:lpstr>ICARD</vt:lpstr>
      <vt:lpstr>Decform</vt:lpstr>
      <vt:lpstr>Decform!Print_Area</vt:lpstr>
      <vt:lpstr>'Employment Card'!Print_Area</vt:lpstr>
      <vt:lpstr>ESIC!Print_Area</vt:lpstr>
      <vt:lpstr>Gratuity!Print_Area</vt:lpstr>
      <vt:lpstr>HRIS!Print_Area</vt:lpstr>
      <vt:lpstr>'PF1'!Print_Area</vt:lpstr>
      <vt:lpstr>'PF2'!Print_Area</vt:lpstr>
      <vt:lpstr>'PF3'!Print_Area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2006-09-21T08:52:22Z</dcterms:created>
  <dcterms:modified xsi:type="dcterms:W3CDTF">2023-05-26T10:04:59Z</dcterms:modified>
</cp:coreProperties>
</file>